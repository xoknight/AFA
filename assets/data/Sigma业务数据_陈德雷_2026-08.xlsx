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<sst xmlns="http://schemas.openxmlformats.org/spreadsheetml/2006/main" count="19" uniqueCount="18">
  <si>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经营时间</t>
  </si>
  <si>
    <t>公司注册时：2023 9/1
清关业务开展时间：2025 9/1</t>
  </si>
  <si>
    <t>客户与客单</t>
  </si>
  <si>
    <t xml:space="preserve">1.活跃客户总数：8
2.前五大客户：
Greeneye 45%，500/月，2100USD/柜
Coracias30%，300/月，2470USD/柜
Lanbao10%，100/月，2470USD/柜
Gabriel，6% 70/月，2790USD/柜
Luckydjx 4% 50/月 2470USD/柜
其他客户 5% 50/月 3300USD/柜
3.复购率在95%左右
4.行业分布：大头为4家EPZ光伏企业，1家建筑企业，剩余为非EPZ及其他
代表案例：在正常清关同时，仅花一周，就帮助客户解决因其他代理公司滞留港口滞留超过4-6个月的100个货柜。挽回客户百万美金损失。
</t>
  </si>
  <si>
    <t>业务量与单量</t>
  </si>
  <si>
    <t>每柜货值</t>
  </si>
  <si>
    <t>电池片空运12托：$660000
电池片40ft货柜24托：$1320000
组件40ft货柜：$1000000
建筑材料护栏类货柜均价：$55000</t>
  </si>
  <si>
    <t>运费标准</t>
  </si>
  <si>
    <t xml:space="preserve">Mombasa-Konza:$1250
Mombasa-Athiriver:$1311
Mombasa-Tatucity:$1350
空运货物取决于车辆类型及大小，约为$348-$470间
</t>
  </si>
  <si>
    <t>合作车队</t>
  </si>
  <si>
    <t>合作车队及可调度车辆和账期
Alliad:120+,45days
EFL: 120+,30days
SUHARA: 80+,30days
SAHAL: 25+,30days
BBC: 50+,14days
LASTEL:20+,14days
Allports:70+,14days
Flexi: 100+,45days</t>
  </si>
  <si>
    <t>平均油费</t>
  </si>
  <si>
    <t>重型卡车: 平均油耗重箱去空箱返为110KES/KM
平均运输时长单程：14hr
回城配载率：5%</t>
  </si>
  <si>
    <t>时间/月</t>
  </si>
  <si>
    <t>数量/柜</t>
  </si>
  <si>
    <t>数量/单</t>
  </si>
  <si>
    <t>海运</t>
  </si>
  <si>
    <t>空运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</si>
</sst>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Sheet2!$B$1</c:f>
              <c:strCache>
                <c:ptCount val="1"/>
                <c:pt idx="0">
                  <c:v>数量/柜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Sheet2!$A$2:$A$13</c:f>
              <c:numCache>
                <c:formatCode>General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numCache>
            </c:num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33</c:v>
                </c:pt>
                <c:pt idx="1">
                  <c:v>54</c:v>
                </c:pt>
                <c:pt idx="2">
                  <c:v>76</c:v>
                </c:pt>
                <c:pt idx="3">
                  <c:v>101</c:v>
                </c:pt>
                <c:pt idx="4">
                  <c:v>150</c:v>
                </c:pt>
                <c:pt idx="5">
                  <c:v>122</c:v>
                </c:pt>
                <c:pt idx="6">
                  <c:v>265</c:v>
                </c:pt>
                <c:pt idx="7">
                  <c:v>314</c:v>
                </c:pt>
                <c:pt idx="8">
                  <c:v>501</c:v>
                </c:pt>
                <c:pt idx="9">
                  <c:v>804</c:v>
                </c:pt>
                <c:pt idx="10">
                  <c:v>946</c:v>
                </c:pt>
                <c:pt idx="11">
                  <c:v>1020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73958783"/>
        <c:axId val="37750995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Sheet2!$A$1</c15:sqref>
                        </c15:formulaRef>
                      </c:ext>
                    </c:extLst>
                    <c:strCache>
                      <c:ptCount val="1"/>
                      <c:pt idx="0">
                        <c:v>时间/月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Sheet2!$A$2:$A$13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11</c:v>
                      </c:pt>
                      <c:pt idx="3">
                        <c:v>12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7</c:v>
                      </c:pt>
                      <c:pt idx="11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{9,10,11,12,1,2,3,4,5,6,7,8}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11</c:v>
                      </c:pt>
                      <c:pt idx="3">
                        <c:v>12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7</c:v>
                      </c:pt>
                      <c:pt idx="11">
                        <c:v>8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73958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509950"/>
        <c:crosses val="autoZero"/>
        <c:auto val="1"/>
        <c:lblAlgn val="ctr"/>
        <c:lblOffset val="100"/>
        <c:noMultiLvlLbl val="0"/>
      </c:catAx>
      <c:valAx>
        <c:axId val="3775099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5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13680a-7ee2-43b3-b29c-7fdaf3ad28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Sheet2!$F$1</c:f>
              <c:strCache>
                <c:ptCount val="1"/>
                <c:pt idx="0">
                  <c:v>数量/单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Sheet2!$E$2:$E$13</c:f>
              <c:numCache>
                <c:formatCode>General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numCache>
            </c:numRef>
          </c:cat>
          <c:val>
            <c:numRef>
              <c:f>Sheet2!$F$2:$F$13</c:f>
              <c:numCache>
                <c:formatCode>General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12</c:v>
                </c:pt>
                <c:pt idx="3">
                  <c:v>20</c:v>
                </c:pt>
                <c:pt idx="4">
                  <c:v>22</c:v>
                </c:pt>
                <c:pt idx="5">
                  <c:v>15</c:v>
                </c:pt>
                <c:pt idx="6">
                  <c:v>27</c:v>
                </c:pt>
                <c:pt idx="7">
                  <c:v>72</c:v>
                </c:pt>
                <c:pt idx="8">
                  <c:v>90</c:v>
                </c:pt>
                <c:pt idx="9">
                  <c:v>120</c:v>
                </c:pt>
                <c:pt idx="10">
                  <c:v>137</c:v>
                </c:pt>
                <c:pt idx="11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23981265"/>
        <c:axId val="229256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Sheet2!$E$1</c15:sqref>
                        </c15:formulaRef>
                      </c:ext>
                    </c:extLst>
                    <c:strCache>
                      <c:ptCount val="1"/>
                      <c:pt idx="0">
                        <c:v>时间/月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Sheet2!$E$2:$E$13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11</c:v>
                      </c:pt>
                      <c:pt idx="3">
                        <c:v>12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7</c:v>
                      </c:pt>
                      <c:pt idx="11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{9,10,11,12,1,2,3,4,5,6,7,8}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11</c:v>
                      </c:pt>
                      <c:pt idx="3">
                        <c:v>12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7</c:v>
                      </c:pt>
                      <c:pt idx="11">
                        <c:v>8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2398126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月份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256767"/>
        <c:crosses val="autoZero"/>
        <c:auto val="1"/>
        <c:lblAlgn val="ctr"/>
        <c:lblOffset val="100"/>
        <c:noMultiLvlLbl val="0"/>
      </c:catAx>
      <c:valAx>
        <c:axId val="22925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单量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9812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7abc7d-7b91-4ee8-9aea-f70a6c140a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Sheet2!$H$1:$I$1</c:f>
              <c:strCache>
                <c:ptCount val="2"/>
                <c:pt idx="0">
                  <c:v>海运</c:v>
                </c:pt>
                <c:pt idx="1">
                  <c:v>空运</c:v>
                </c:pt>
              </c:strCache>
            </c:strRef>
          </c:cat>
          <c:val>
            <c:numRef>
              <c:f>Sheet2!$H$2:$I$2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843ce5-65b7-4c71-b55e-67b3c2511c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Sheet2!$H$1:$I$1</c:f>
              <c:strCache>
                <c:ptCount val="2"/>
                <c:pt idx="0">
                  <c:v>海运</c:v>
                </c:pt>
                <c:pt idx="1">
                  <c:v>空运</c:v>
                </c:pt>
              </c:strCache>
            </c:strRef>
          </c:cat>
          <c:val>
            <c:numRef>
              <c:f>Sheet2!$H$2:$I$2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637540</xdr:colOff>
      <xdr:row>2</xdr:row>
      <xdr:rowOff>114935</xdr:rowOff>
    </xdr:from>
    <xdr:to>
      <xdr:col>9</xdr:col>
      <xdr:colOff>473710</xdr:colOff>
      <xdr:row>2</xdr:row>
      <xdr:rowOff>2590165</xdr:rowOff>
    </xdr:to>
    <xdr:graphicFrame>
      <xdr:nvGraphicFramePr>
        <xdr:cNvPr id="5" name="图表 4"/>
        <xdr:cNvGraphicFramePr/>
      </xdr:nvGraphicFramePr>
      <xdr:xfrm>
        <a:off x="4838065" y="3201035"/>
        <a:ext cx="4356735" cy="2475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393065</xdr:colOff>
      <xdr:row>2</xdr:row>
      <xdr:rowOff>97790</xdr:rowOff>
    </xdr:from>
    <xdr:to>
      <xdr:col>17</xdr:col>
      <xdr:colOff>259080</xdr:colOff>
      <xdr:row>2</xdr:row>
      <xdr:rowOff>2588895</xdr:rowOff>
    </xdr:to>
    <xdr:graphicFrame>
      <xdr:nvGraphicFramePr>
        <xdr:cNvPr id="6" name="图表 5"/>
        <xdr:cNvGraphicFramePr/>
      </xdr:nvGraphicFramePr>
      <xdr:xfrm>
        <a:off x="9759950" y="3183890"/>
        <a:ext cx="4386580" cy="2491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133350</xdr:colOff>
      <xdr:row>2</xdr:row>
      <xdr:rowOff>109220</xdr:rowOff>
    </xdr:from>
    <xdr:to>
      <xdr:col>24</xdr:col>
      <xdr:colOff>629920</xdr:colOff>
      <xdr:row>2</xdr:row>
      <xdr:rowOff>2599690</xdr:rowOff>
    </xdr:to>
    <xdr:graphicFrame>
      <xdr:nvGraphicFramePr>
        <xdr:cNvPr id="7" name="图表 6"/>
        <xdr:cNvGraphicFramePr/>
      </xdr:nvGraphicFramePr>
      <xdr:xfrm>
        <a:off x="14666595" y="3195320"/>
        <a:ext cx="4371340" cy="2490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641350</xdr:colOff>
      <xdr:row>5</xdr:row>
      <xdr:rowOff>135255</xdr:rowOff>
    </xdr:from>
    <xdr:to>
      <xdr:col>14</xdr:col>
      <xdr:colOff>287655</xdr:colOff>
      <xdr:row>21</xdr:row>
      <xdr:rowOff>135255</xdr:rowOff>
    </xdr:to>
    <xdr:graphicFrame>
      <xdr:nvGraphicFramePr>
        <xdr:cNvPr id="8" name="图表 7"/>
        <xdr:cNvGraphicFramePr/>
      </xdr:nvGraphicFramePr>
      <xdr:xfrm>
        <a:off x="4516120" y="992505"/>
        <a:ext cx="48126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topLeftCell="A4" workbookViewId="0">
      <selection activeCell="D7" sqref="D7"/>
    </sheetView>
  </sheetViews>
  <sheetFormatPr defaultColWidth="9" defaultRowHeight="13.5" outlineLevelRow="6" outlineLevelCol="1"/>
  <cols>
    <col min="1" max="1" width="13.353982300885" customWidth="1"/>
    <col min="2" max="2" width="45.1858407079646" customWidth="1"/>
  </cols>
  <sheetData>
    <row r="1" ht="27" spans="1:2">
      <c r="A1" t="s">
        <v>0</v>
      </c>
      <c r="B1" s="2" t="s">
        <v>1</v>
      </c>
    </row>
    <row r="2" ht="216" spans="1:2">
      <c r="A2" t="s">
        <v>2</v>
      </c>
      <c r="B2" s="2" t="s">
        <v>3</v>
      </c>
    </row>
    <row r="3" ht="205" customHeight="1" spans="1:2">
      <c r="A3" t="s">
        <v>4</v>
      </c>
    </row>
    <row r="4" ht="105" customHeight="1" spans="1:2">
      <c r="A4" t="s">
        <v>5</v>
      </c>
      <c r="B4" s="3" t="s">
        <v>6</v>
      </c>
    </row>
    <row r="5" ht="81" spans="1:2">
      <c r="A5" t="s">
        <v>7</v>
      </c>
      <c r="B5" s="2" t="s">
        <v>8</v>
      </c>
    </row>
    <row r="6" ht="121.5" spans="1:2">
      <c r="A6" t="s">
        <v>9</v>
      </c>
      <c r="B6" s="2" t="s">
        <v>10</v>
      </c>
    </row>
    <row r="7" ht="40.5" spans="1:2">
      <c r="A7" t="s">
        <v>11</v>
      </c>
      <c r="B7" s="2" t="s">
        <v>12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P20" sqref="P20"/>
    </sheetView>
  </sheetViews>
  <sheetFormatPr defaultColWidth="9" defaultRowHeight="13.5"/>
  <sheetData>
    <row r="1" spans="1:9">
      <c r="A1" t="s">
        <v>13</v>
      </c>
      <c r="B1" t="s">
        <v>14</v>
      </c>
      <c r="C1"/>
      <c r="D1"/>
      <c r="E1" t="s">
        <v>13</v>
      </c>
      <c r="F1" t="s">
        <v>15</v>
      </c>
      <c r="G1"/>
      <c r="H1" t="s">
        <v>16</v>
      </c>
      <c r="I1" t="s">
        <v>17</v>
      </c>
    </row>
    <row r="2" spans="1:9">
      <c r="A2">
        <v>9</v>
      </c>
      <c r="B2">
        <v>33</v>
      </c>
      <c r="C2"/>
      <c r="D2"/>
      <c r="E2">
        <v>9</v>
      </c>
      <c r="F2">
        <v>6</v>
      </c>
      <c r="G2"/>
      <c r="H2" s="1">
        <v>0.75</v>
      </c>
      <c r="I2" s="1">
        <v>0.25</v>
      </c>
    </row>
    <row r="3" spans="1:9">
      <c r="A3">
        <v>10</v>
      </c>
      <c r="B3">
        <v>54</v>
      </c>
      <c r="E3">
        <v>10</v>
      </c>
      <c r="F3">
        <v>10</v>
      </c>
    </row>
    <row r="4" spans="1:9">
      <c r="A4">
        <v>11</v>
      </c>
      <c r="B4">
        <v>76</v>
      </c>
      <c r="E4">
        <v>11</v>
      </c>
      <c r="F4">
        <v>12</v>
      </c>
    </row>
    <row r="5" spans="1:9">
      <c r="A5">
        <v>12</v>
      </c>
      <c r="B5">
        <v>101</v>
      </c>
      <c r="E5">
        <v>12</v>
      </c>
      <c r="F5">
        <v>20</v>
      </c>
    </row>
    <row r="6" spans="1:9">
      <c r="A6">
        <v>1</v>
      </c>
      <c r="B6">
        <v>150</v>
      </c>
      <c r="E6">
        <v>1</v>
      </c>
      <c r="F6">
        <v>22</v>
      </c>
    </row>
    <row r="7" spans="1:9">
      <c r="A7">
        <v>2</v>
      </c>
      <c r="B7">
        <v>122</v>
      </c>
      <c r="E7">
        <v>2</v>
      </c>
      <c r="F7">
        <v>15</v>
      </c>
    </row>
    <row r="8" spans="1:9">
      <c r="A8">
        <v>3</v>
      </c>
      <c r="B8">
        <v>265</v>
      </c>
      <c r="E8">
        <v>3</v>
      </c>
      <c r="F8">
        <v>27</v>
      </c>
    </row>
    <row r="9" spans="1:9">
      <c r="A9">
        <v>4</v>
      </c>
      <c r="B9">
        <v>314</v>
      </c>
      <c r="E9">
        <v>4</v>
      </c>
      <c r="F9">
        <v>72</v>
      </c>
    </row>
    <row r="10" spans="1:9">
      <c r="A10">
        <v>5</v>
      </c>
      <c r="B10">
        <v>501</v>
      </c>
      <c r="E10">
        <v>5</v>
      </c>
      <c r="F10">
        <v>90</v>
      </c>
    </row>
    <row r="11" spans="1:9">
      <c r="A11">
        <v>6</v>
      </c>
      <c r="B11">
        <v>804</v>
      </c>
      <c r="E11">
        <v>6</v>
      </c>
      <c r="F11">
        <v>120</v>
      </c>
    </row>
    <row r="12" spans="1:9">
      <c r="A12">
        <v>7</v>
      </c>
      <c r="B12">
        <v>946</v>
      </c>
      <c r="E12">
        <v>7</v>
      </c>
      <c r="F12">
        <v>137</v>
      </c>
    </row>
    <row r="13" spans="1:9">
      <c r="A13">
        <v>8</v>
      </c>
      <c r="B13">
        <v>1020</v>
      </c>
      <c r="E13">
        <v>8</v>
      </c>
      <c r="F13">
        <v>150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青猫</dc:creator>
  <cp:lastModifiedBy>青猫</cp:lastModifiedBy>
  <dcterms:created xsi:type="dcterms:W3CDTF">2023-05-12T11:15:00Z</dcterms:created>
  <dcterms:modified xsi:type="dcterms:W3CDTF">2026-08-01T08:29:45Z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E8AC07AA0473459C8D000D615E71BCE6_12</vt:lpwstr>
  </property>
  <property fmtid="{D5CDD505-2E9C-101B-9397-08002B2CF9AE}" pid="4" name="CalculationRule">
    <vt:i4>0</vt:i4>
  </property>
</Properties>
</file>