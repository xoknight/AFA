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1-已有数据台账" sheetId="2" state="visible" r:id="rId2"/>
    <sheet xmlns:r="http://schemas.openxmlformats.org/officeDocument/2006/relationships" name="2-待补数据清单" sheetId="3" state="visible" r:id="rId3"/>
    <sheet xmlns:r="http://schemas.openxmlformats.org/officeDocument/2006/relationships" name="3-月度经营数据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\+0%;\-0%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1B2E"/>
      <sz val="16"/>
    </font>
    <font>
      <name val="Noto Sans CJK SC"/>
      <family val="2"/>
      <b val="1"/>
      <color rgb="FF0D1B2E"/>
      <sz val="16"/>
    </font>
    <font>
      <name val="Noto Sans CJK SC"/>
      <family val="2"/>
      <color rgb="FF666666"/>
      <sz val="9"/>
    </font>
    <font>
      <name val="Arial"/>
      <charset val="1"/>
      <family val="0"/>
      <color rgb="FF666666"/>
      <sz val="9"/>
    </font>
    <font>
      <name val="Noto Sans CJK SC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Noto Sans CJK SC"/>
      <family val="2"/>
      <color rgb="FF000000"/>
      <sz val="10"/>
    </font>
    <font>
      <name val="Arial"/>
      <charset val="1"/>
      <family val="0"/>
      <color rgb="FF00000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0D1B2E"/>
      <sz val="11"/>
    </font>
    <font>
      <name val="Arial"/>
      <charset val="1"/>
      <family val="0"/>
      <b val="1"/>
      <color rgb="FF0000FF"/>
      <sz val="10"/>
    </font>
    <font>
      <name val="Noto Sans CJK SC"/>
      <family val="2"/>
      <color rgb="FF666666"/>
      <sz val="10"/>
    </font>
    <font>
      <name val="Arial"/>
      <charset val="1"/>
      <family val="0"/>
      <color rgb="FF666666"/>
      <sz val="10"/>
    </font>
  </fonts>
  <fills count="9">
    <fill>
      <patternFill/>
    </fill>
    <fill>
      <patternFill patternType="gray125"/>
    </fill>
    <fill>
      <patternFill patternType="solid">
        <fgColor rgb="FFFAF7F1"/>
        <bgColor rgb="FFFFFFFF"/>
      </patternFill>
    </fill>
    <fill>
      <patternFill patternType="solid">
        <fgColor rgb="FF0D1B2E"/>
        <bgColor rgb="FF000000"/>
      </patternFill>
    </fill>
    <fill>
      <patternFill patternType="solid">
        <fgColor rgb="FFE6F4EA"/>
        <bgColor rgb="FFE8EAED"/>
      </patternFill>
    </fill>
    <fill>
      <patternFill patternType="solid">
        <fgColor rgb="FFFFF3CD"/>
        <bgColor rgb="FFFAF7F1"/>
      </patternFill>
    </fill>
    <fill>
      <patternFill patternType="solid">
        <fgColor rgb="FFFDE2E2"/>
        <bgColor rgb="FFE8EAED"/>
      </patternFill>
    </fill>
    <fill>
      <patternFill patternType="solid">
        <fgColor rgb="FFE8EAED"/>
        <bgColor rgb="FFE6F4EA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D8D3C8"/>
      </left>
      <right style="thin">
        <color rgb="FFD8D3C8"/>
      </right>
      <top style="thin">
        <color rgb="FFD8D3C8"/>
      </top>
      <bottom style="thin">
        <color rgb="FFD8D3C8"/>
      </bottom>
      <diagonal/>
    </border>
    <border>
      <left/>
      <right/>
      <top style="thin">
        <color rgb="FFD8D3C8"/>
      </top>
      <bottom/>
      <diagonal/>
    </border>
    <border>
      <left/>
      <right style="thin">
        <color rgb="FFD8D3C8"/>
      </right>
      <top style="thin">
        <color rgb="FFD8D3C8"/>
      </top>
      <bottom/>
      <diagonal/>
    </border>
    <border>
      <left/>
      <right/>
      <top style="thin">
        <color rgb="FFD8D3C8"/>
      </top>
      <bottom style="thin">
        <color rgb="FFD8D3C8"/>
      </bottom>
      <diagonal/>
    </border>
    <border>
      <left/>
      <right style="thin">
        <color rgb="FFD8D3C8"/>
      </right>
      <top style="thin">
        <color rgb="FFD8D3C8"/>
      </top>
      <bottom style="thin">
        <color rgb="FFD8D3C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3" fontId="9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bottom"/>
    </xf>
    <xf numFmtId="3" fontId="15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3" fontId="9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bottom"/>
    </xf>
    <xf numFmtId="3" fontId="15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3" fontId="9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3C8"/>
      <rgbColor rgb="FF808080"/>
      <rgbColor rgb="FF9999FF"/>
      <rgbColor rgb="FF993366"/>
      <rgbColor rgb="FFFFF3CD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ED"/>
      <rgbColor rgb="FFFAF7F1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D1B2E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26" customWidth="1" style="26" min="2" max="2"/>
    <col width="90" customWidth="1" style="26" min="3" max="3"/>
  </cols>
  <sheetData>
    <row r="1"/>
    <row r="2" ht="23.85" customHeight="1" s="27">
      <c r="B2" s="28" t="inlineStr">
        <is>
          <t>Sigma 业务数据盘点表</t>
        </is>
      </c>
    </row>
    <row r="3" ht="15" customHeight="1" s="27">
      <c r="B3" s="29" t="inlineStr">
        <is>
          <t>更新：2026-08-04 · 数据上游：陈德雷 2026-08 首轮粗数（assets/data/Sigma业务数据_陈德雷_2026-08.xlsx）· 仓库：docs/02-business/Sigma业务数据台账.md</t>
        </is>
      </c>
    </row>
    <row r="4"/>
    <row r="5" ht="27.75" customHeight="1" s="27">
      <c r="B5" s="30" t="inlineStr">
        <is>
          <t>表1 · 已有数据台账</t>
        </is>
      </c>
      <c r="C5" s="31" t="inlineStr">
        <is>
          <t>已交付的首轮数据，逐项标注口径与核实状态；黄色 = 待现场核数或口径待厘清</t>
        </is>
      </c>
    </row>
    <row r="6" ht="27.75" customHeight="1" s="27">
      <c r="B6" s="30" t="inlineStr">
        <is>
          <t>表2 · 待补数据清单</t>
        </is>
      </c>
      <c r="C6" s="31" t="inlineStr">
        <is>
          <t>进一步了解 Sigma 业务需要补的数据与材料，按 P0/P1/P2 优先级与责任人管理</t>
        </is>
      </c>
    </row>
    <row r="7" ht="27.75" customHeight="1" s="27">
      <c r="B7" s="30" t="inlineStr">
        <is>
          <t>表3 · 月度经营数据</t>
        </is>
      </c>
      <c r="C7" s="32" t="inlineStr">
        <is>
          <t>2025-09 → 2026-08 逐月柜量/票数，含公式（累计、环比、加权客单、run-rate 推演）</t>
        </is>
      </c>
    </row>
    <row r="8" ht="27.75" customHeight="1" s="27">
      <c r="B8" s="30" t="inlineStr">
        <is>
          <t>状态口径</t>
        </is>
      </c>
      <c r="C8" s="31" t="inlineStr">
        <is>
          <t>✅ 已核实（有原始凭据/交叉验算自洽）｜🟡 待核对（数据已有，8/15 现场核数或需口径确认）｜🔴 待补齐（尚无数据）</t>
        </is>
      </c>
    </row>
    <row r="9" ht="27.75" customHeight="1" s="27">
      <c r="B9" s="30" t="inlineStr">
        <is>
          <t>使用规则</t>
        </is>
      </c>
      <c r="C9" s="31" t="inlineStr">
        <is>
          <t>对外引用任何数字前，先查本表状态列；🟡/🔴 状态的数字不进 BP 与投资人材料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24" customWidth="1" style="26" min="2" max="2"/>
    <col width="26" customWidth="1" style="26" min="3" max="3"/>
    <col width="34" customWidth="1" style="26" min="4" max="4"/>
    <col width="10" customWidth="1" style="26" min="5" max="5"/>
    <col width="34" customWidth="1" style="26" min="6" max="6"/>
    <col width="16" customWidth="1" style="26" min="7" max="7"/>
  </cols>
  <sheetData>
    <row r="1" ht="15" customHeight="1" s="27">
      <c r="A1" s="33" t="inlineStr">
        <is>
          <t>类别</t>
        </is>
      </c>
      <c r="B1" s="33" t="inlineStr">
        <is>
          <t>数据项</t>
        </is>
      </c>
      <c r="C1" s="33" t="inlineStr">
        <is>
          <t>现值</t>
        </is>
      </c>
      <c r="D1" s="33" t="inlineStr">
        <is>
          <t>口径说明</t>
        </is>
      </c>
      <c r="E1" s="33" t="inlineStr">
        <is>
          <t>状态</t>
        </is>
      </c>
      <c r="F1" s="33" t="inlineStr">
        <is>
          <t>待办 / 风险备注</t>
        </is>
      </c>
      <c r="G1" s="33" t="inlineStr">
        <is>
          <t>主要用途</t>
        </is>
      </c>
    </row>
    <row r="2" ht="30" customHeight="1" s="27">
      <c r="A2" s="31" t="inlineStr">
        <is>
          <t>经营时间</t>
        </is>
      </c>
      <c r="B2" s="31" t="inlineStr">
        <is>
          <t>公司注册</t>
        </is>
      </c>
      <c r="C2" s="32" t="inlineStr">
        <is>
          <t>2023-09-01</t>
        </is>
      </c>
      <c r="D2" s="31" t="inlineStr">
        <is>
          <t>公司注册日</t>
        </is>
      </c>
      <c r="E2" s="34" t="inlineStr">
        <is>
          <t>✅</t>
        </is>
      </c>
      <c r="F2" s="31" t="n"/>
      <c r="G2" s="31" t="inlineStr">
        <is>
          <t>叙事/尽调</t>
        </is>
      </c>
    </row>
    <row r="3" ht="30" customHeight="1" s="27">
      <c r="A3" s="31" t="inlineStr">
        <is>
          <t>经营时间</t>
        </is>
      </c>
      <c r="B3" s="31" t="inlineStr">
        <is>
          <t>清关业务上线</t>
        </is>
      </c>
      <c r="C3" s="32" t="inlineStr">
        <is>
          <t>2025-09-01</t>
        </is>
      </c>
      <c r="D3" s="31" t="inlineStr">
        <is>
          <t>业务实际开展日</t>
        </is>
      </c>
      <c r="E3" s="34" t="inlineStr">
        <is>
          <t>✅</t>
        </is>
      </c>
      <c r="F3" s="31" t="inlineStr">
        <is>
          <t>关键叙事：12 个月做到月千柜</t>
        </is>
      </c>
      <c r="G3" s="31" t="inlineStr">
        <is>
          <t>叙事/BP</t>
        </is>
      </c>
    </row>
    <row r="4" ht="30" customHeight="1" s="27">
      <c r="A4" s="31" t="inlineStr">
        <is>
          <t>客户</t>
        </is>
      </c>
      <c r="B4" s="31" t="inlineStr">
        <is>
          <t>活跃客户数</t>
        </is>
      </c>
      <c r="C4" s="32" t="inlineStr">
        <is>
          <t>8 家</t>
        </is>
      </c>
      <c r="D4" s="31" t="inlineStr">
        <is>
          <t>月度有业务的付费客户</t>
        </is>
      </c>
      <c r="E4" s="35" t="inlineStr">
        <is>
          <t>🟡</t>
        </is>
      </c>
      <c r="F4" s="31" t="inlineStr">
        <is>
          <t>「活跃」定义需书面化（近 90 天有单？）</t>
        </is>
      </c>
      <c r="G4" s="32" t="inlineStr">
        <is>
          <t>BP/尽调</t>
        </is>
      </c>
    </row>
    <row r="5" ht="30" customHeight="1" s="27">
      <c r="A5" s="31" t="inlineStr">
        <is>
          <t>客户</t>
        </is>
      </c>
      <c r="B5" s="31" t="inlineStr">
        <is>
          <t>客户结构</t>
        </is>
      </c>
      <c r="C5" s="32" t="inlineStr">
        <is>
          <t>4 家 EPZ 光伏 + 1 建筑 + 其他</t>
        </is>
      </c>
      <c r="D5" s="31" t="inlineStr">
        <is>
          <t>按 2026-08 柜量份额</t>
        </is>
      </c>
      <c r="E5" s="34" t="inlineStr">
        <is>
          <t>✅</t>
        </is>
      </c>
      <c r="F5" s="31" t="n"/>
      <c r="G5" s="32" t="inlineStr">
        <is>
          <t>BP</t>
        </is>
      </c>
    </row>
    <row r="6" ht="30" customHeight="1" s="27">
      <c r="A6" s="31" t="inlineStr">
        <is>
          <t>客户</t>
        </is>
      </c>
      <c r="B6" s="31" t="inlineStr">
        <is>
          <t>前二集中度</t>
        </is>
      </c>
      <c r="C6" s="32" t="inlineStr">
        <is>
          <t>75%（Greeneye 45% + Coracias 30%）</t>
        </is>
      </c>
      <c r="D6" s="31" t="inlineStr">
        <is>
          <t>按月柜量份额</t>
        </is>
      </c>
      <c r="E6" s="34" t="inlineStr">
        <is>
          <t>✅</t>
        </is>
      </c>
      <c r="F6" s="31" t="inlineStr">
        <is>
          <t>高于目标线（单一货主 ≤25%），列入风险改进项</t>
        </is>
      </c>
      <c r="G6" s="31" t="inlineStr">
        <is>
          <t>风险管理</t>
        </is>
      </c>
    </row>
    <row r="7" ht="30" customHeight="1" s="27">
      <c r="A7" s="31" t="inlineStr">
        <is>
          <t>客户</t>
        </is>
      </c>
      <c r="B7" s="31" t="inlineStr">
        <is>
          <t>复购率</t>
        </is>
      </c>
      <c r="C7" s="31" t="inlineStr">
        <is>
          <t>约 95%</t>
        </is>
      </c>
      <c r="D7" s="31" t="inlineStr">
        <is>
          <t>口径未书面化</t>
        </is>
      </c>
      <c r="E7" s="35" t="inlineStr">
        <is>
          <t>🟡</t>
        </is>
      </c>
      <c r="F7" s="31" t="inlineStr">
        <is>
          <t>按客户数还是按柜量？统计期？需定义</t>
        </is>
      </c>
      <c r="G7" s="32" t="inlineStr">
        <is>
          <t>BP</t>
        </is>
      </c>
    </row>
    <row r="8" ht="30" customHeight="1" s="27">
      <c r="A8" s="31" t="inlineStr">
        <is>
          <t>客单</t>
        </is>
      </c>
      <c r="B8" s="31" t="inlineStr">
        <is>
          <t>单价区间</t>
        </is>
      </c>
      <c r="C8" s="32" t="inlineStr">
        <is>
          <t>$2,100–3,300 /柜</t>
        </is>
      </c>
      <c r="D8" s="31" t="inlineStr">
        <is>
          <t>分客户报价</t>
        </is>
      </c>
      <c r="E8" s="35" t="inlineStr">
        <is>
          <t>🟡</t>
        </is>
      </c>
      <c r="F8" s="31" t="inlineStr">
        <is>
          <t>🔴关键：是否含代收代垫税费？决定流水/收入拆分</t>
        </is>
      </c>
      <c r="G8" s="31" t="inlineStr">
        <is>
          <t>财务模型</t>
        </is>
      </c>
    </row>
    <row r="9" ht="30" customHeight="1" s="27">
      <c r="A9" s="31" t="inlineStr">
        <is>
          <t>客单</t>
        </is>
      </c>
      <c r="B9" s="31" t="inlineStr">
        <is>
          <t>加权客单价</t>
        </is>
      </c>
      <c r="C9" s="32" t="inlineStr">
        <is>
          <t>≈$2,357 /柜</t>
        </is>
      </c>
      <c r="D9" s="31" t="inlineStr">
        <is>
          <t>按客户份额加权（交叉验算）</t>
        </is>
      </c>
      <c r="E9" s="34" t="inlineStr">
        <is>
          <t>✅</t>
        </is>
      </c>
      <c r="F9" s="31" t="inlineStr">
        <is>
          <t>上游单价口径厘清后需复算</t>
        </is>
      </c>
      <c r="G9" s="31" t="inlineStr">
        <is>
          <t>财务模型</t>
        </is>
      </c>
    </row>
    <row r="10" ht="30" customHeight="1" s="27">
      <c r="A10" s="31" t="inlineStr">
        <is>
          <t>业务量</t>
        </is>
      </c>
      <c r="B10" s="32" t="inlineStr">
        <is>
          <t>12 个月累计柜量</t>
        </is>
      </c>
      <c r="C10" s="32" t="inlineStr">
        <is>
          <t>4,386 柜</t>
        </is>
      </c>
      <c r="D10" s="32" t="inlineStr">
        <is>
          <t>2025-09→2026-08 合计</t>
        </is>
      </c>
      <c r="E10" s="35" t="inlineStr">
        <is>
          <t>🟡</t>
        </is>
      </c>
      <c r="F10" s="31" t="inlineStr">
        <is>
          <t>与逐月表勾稽 ✅；待与报关记录核对</t>
        </is>
      </c>
      <c r="G10" s="32" t="inlineStr">
        <is>
          <t>BP/尽调</t>
        </is>
      </c>
    </row>
    <row r="11" ht="30" customHeight="1" s="27">
      <c r="A11" s="31" t="inlineStr">
        <is>
          <t>业务量</t>
        </is>
      </c>
      <c r="B11" s="31" t="inlineStr">
        <is>
          <t>当前月柜量</t>
        </is>
      </c>
      <c r="C11" s="32" t="inlineStr">
        <is>
          <t>1,020 柜（2026-08）</t>
        </is>
      </c>
      <c r="D11" s="31" t="inlineStr">
        <is>
          <t>月度实际</t>
        </is>
      </c>
      <c r="E11" s="35" t="inlineStr">
        <is>
          <t>🟡</t>
        </is>
      </c>
      <c r="F11" s="31" t="inlineStr">
        <is>
          <t>客户份额合计 1,070 与实际 1,020 差异 ≈5%，属正常波动</t>
        </is>
      </c>
      <c r="G11" s="32" t="inlineStr">
        <is>
          <t>BP</t>
        </is>
      </c>
    </row>
    <row r="12" ht="30" customHeight="1" s="27">
      <c r="A12" s="31" t="inlineStr">
        <is>
          <t>业务量</t>
        </is>
      </c>
      <c r="B12" s="31" t="inlineStr">
        <is>
          <t>海运/空运比</t>
        </is>
      </c>
      <c r="C12" s="32" t="inlineStr">
        <is>
          <t>≈75% / 25%</t>
        </is>
      </c>
      <c r="D12" s="31" t="inlineStr">
        <is>
          <t>按柜量</t>
        </is>
      </c>
      <c r="E12" s="35" t="inlineStr">
        <is>
          <t>🟡</t>
        </is>
      </c>
      <c r="F12" s="31" t="inlineStr">
        <is>
          <t>空运「柜」的折算口径需说明</t>
        </is>
      </c>
      <c r="G12" s="32" t="inlineStr">
        <is>
          <t>BP/产品</t>
        </is>
      </c>
    </row>
    <row r="13" ht="30" customHeight="1" s="27">
      <c r="A13" s="31" t="inlineStr">
        <is>
          <t>业务量</t>
        </is>
      </c>
      <c r="B13" s="32" t="inlineStr">
        <is>
          <t>2026 H1 柜量</t>
        </is>
      </c>
      <c r="C13" s="32" t="inlineStr">
        <is>
          <t>2,156 柜</t>
        </is>
      </c>
      <c r="D13" s="32" t="inlineStr">
        <is>
          <t>1–6 月合计</t>
        </is>
      </c>
      <c r="E13" s="34" t="inlineStr">
        <is>
          <t>✅</t>
        </is>
      </c>
      <c r="F13" s="31" t="inlineStr">
        <is>
          <t>用于 $60 万 H1 净利的自洽验算</t>
        </is>
      </c>
      <c r="G13" s="31" t="inlineStr">
        <is>
          <t>财务模型</t>
        </is>
      </c>
    </row>
    <row r="14" ht="30" customHeight="1" s="27">
      <c r="A14" s="31" t="inlineStr">
        <is>
          <t>财务</t>
        </is>
      </c>
      <c r="B14" s="31" t="inlineStr">
        <is>
          <t>年流水（外部口径）</t>
        </is>
      </c>
      <c r="C14" s="32" t="inlineStr">
        <is>
          <t>$800 万</t>
        </is>
      </c>
      <c r="D14" s="32" t="inlineStr">
        <is>
          <t>12 个月累计流水（非收入）</t>
        </is>
      </c>
      <c r="E14" s="35" t="inlineStr">
        <is>
          <t>🟡</t>
        </is>
      </c>
      <c r="F14" s="32" t="inlineStr">
        <is>
          <t>run-rate 年化 ≈$30M 与累计 ≈$10M 并存：对外必须注明口径</t>
        </is>
      </c>
      <c r="G14" s="32" t="inlineStr">
        <is>
          <t>BP/融资</t>
        </is>
      </c>
    </row>
    <row r="15" ht="30" customHeight="1" s="27">
      <c r="A15" s="31" t="inlineStr">
        <is>
          <t>财务</t>
        </is>
      </c>
      <c r="B15" s="31" t="inlineStr">
        <is>
          <t>单柜净贡献</t>
        </is>
      </c>
      <c r="C15" s="32" t="inlineStr">
        <is>
          <t>≈$421 /柜</t>
        </is>
      </c>
      <c r="D15" s="32" t="inlineStr">
        <is>
          <t>H1 推算（毛利−固定费分摊）</t>
        </is>
      </c>
      <c r="E15" s="35" t="inlineStr">
        <is>
          <t>🟡</t>
        </is>
      </c>
      <c r="F15" s="31" t="inlineStr">
        <is>
          <t>待会计师报表验证</t>
        </is>
      </c>
      <c r="G15" s="31" t="inlineStr">
        <is>
          <t>财务模型</t>
        </is>
      </c>
    </row>
    <row r="16" ht="30" customHeight="1" s="27">
      <c r="A16" s="31" t="inlineStr">
        <is>
          <t>财务</t>
        </is>
      </c>
      <c r="B16" s="32" t="inlineStr">
        <is>
          <t>H1 净利</t>
        </is>
      </c>
      <c r="C16" s="32" t="inlineStr">
        <is>
          <t>≈$60 万</t>
        </is>
      </c>
      <c r="D16" s="32" t="inlineStr">
        <is>
          <t>2026 上半年，爬坡期</t>
        </is>
      </c>
      <c r="E16" s="35" t="inlineStr">
        <is>
          <t>🟡</t>
        </is>
      </c>
      <c r="F16" s="31" t="inlineStr">
        <is>
          <t>🔴需要会计师基线报表（8/15）</t>
        </is>
      </c>
      <c r="G16" s="31" t="inlineStr">
        <is>
          <t>融资/尽调</t>
        </is>
      </c>
    </row>
    <row r="17" ht="30" customHeight="1" s="27">
      <c r="A17" s="31" t="inlineStr">
        <is>
          <t>货值</t>
        </is>
      </c>
      <c r="B17" s="31" t="inlineStr">
        <is>
          <t>单柜货值</t>
        </is>
      </c>
      <c r="C17" s="32" t="inlineStr">
        <is>
          <t>$5.5 万–132 万</t>
        </is>
      </c>
      <c r="D17" s="31" t="inlineStr">
        <is>
          <t>电池片 40ft 柜 $132 万最高</t>
        </is>
      </c>
      <c r="E17" s="34" t="inlineStr">
        <is>
          <t>✅</t>
        </is>
      </c>
      <c r="F17" s="31" t="inlineStr">
        <is>
          <t>支撑责任型定价与保险叙事</t>
        </is>
      </c>
      <c r="G17" s="32" t="inlineStr">
        <is>
          <t>BP/保险</t>
        </is>
      </c>
    </row>
    <row r="18" ht="30" customHeight="1" s="27">
      <c r="A18" s="31" t="inlineStr">
        <is>
          <t>成本</t>
        </is>
      </c>
      <c r="B18" s="31" t="inlineStr">
        <is>
          <t>干线运费采购价</t>
        </is>
      </c>
      <c r="C18" s="32" t="inlineStr">
        <is>
          <t>Mombasa→Konza $1,250 等</t>
        </is>
      </c>
      <c r="D18" s="31" t="inlineStr">
        <is>
          <t>按目的地/车型</t>
        </is>
      </c>
      <c r="E18" s="35" t="inlineStr">
        <is>
          <t>🟡</t>
        </is>
      </c>
      <c r="F18" s="31" t="inlineStr">
        <is>
          <t>有效期与油价联动机制未记录</t>
        </is>
      </c>
      <c r="G18" s="31" t="inlineStr">
        <is>
          <t>定价</t>
        </is>
      </c>
    </row>
    <row r="19" ht="30" customHeight="1" s="27">
      <c r="A19" s="31" t="inlineStr">
        <is>
          <t>成本</t>
        </is>
      </c>
      <c r="B19" s="31" t="inlineStr">
        <is>
          <t>重卡油耗</t>
        </is>
      </c>
      <c r="C19" s="32" t="inlineStr">
        <is>
          <t>110 KES/km（重去空回）</t>
        </is>
      </c>
      <c r="D19" s="31" t="inlineStr">
        <is>
          <t>线路实测</t>
        </is>
      </c>
      <c r="E19" s="35" t="inlineStr">
        <is>
          <t>🟡</t>
        </is>
      </c>
      <c r="F19" s="31" t="inlineStr">
        <is>
          <t>样本量/线路未记录</t>
        </is>
      </c>
      <c r="G19" s="31" t="inlineStr">
        <is>
          <t>单位经济</t>
        </is>
      </c>
    </row>
    <row r="20" ht="30" customHeight="1" s="27">
      <c r="A20" s="31" t="inlineStr">
        <is>
          <t>运力</t>
        </is>
      </c>
      <c r="B20" s="31" t="inlineStr">
        <is>
          <t>合作车队</t>
        </is>
      </c>
      <c r="C20" s="32" t="inlineStr">
        <is>
          <t>8 家 · 可调度 585+ 辆</t>
        </is>
      </c>
      <c r="D20" s="31" t="inlineStr">
        <is>
          <t>车队自报</t>
        </is>
      </c>
      <c r="E20" s="35" t="inlineStr">
        <is>
          <t>🟡</t>
        </is>
      </c>
      <c r="F20" s="31" t="inlineStr">
        <is>
          <t>「可调度」需按线路/时段验证真实可用车</t>
        </is>
      </c>
      <c r="G20" s="31" t="inlineStr">
        <is>
          <t>平台化</t>
        </is>
      </c>
    </row>
    <row r="21" ht="30" customHeight="1" s="27">
      <c r="A21" s="31" t="inlineStr">
        <is>
          <t>运力</t>
        </is>
      </c>
      <c r="B21" s="31" t="inlineStr">
        <is>
          <t>车队账期</t>
        </is>
      </c>
      <c r="C21" s="32" t="inlineStr">
        <is>
          <t>14–45 天</t>
        </is>
      </c>
      <c r="D21" s="31" t="inlineStr">
        <is>
          <t>分车队</t>
        </is>
      </c>
      <c r="E21" s="34" t="inlineStr">
        <is>
          <t>✅</t>
        </is>
      </c>
      <c r="F21" s="31" t="inlineStr">
        <is>
          <t>是营运资金模型关键输入</t>
        </is>
      </c>
      <c r="G21" s="31" t="inlineStr">
        <is>
          <t>财务模型</t>
        </is>
      </c>
    </row>
    <row r="22" ht="30" customHeight="1" s="27">
      <c r="A22" s="31" t="inlineStr">
        <is>
          <t>履约</t>
        </is>
      </c>
      <c r="B22" s="31" t="inlineStr">
        <is>
          <t>单程运输时长</t>
        </is>
      </c>
      <c r="C22" s="31" t="inlineStr">
        <is>
          <t>平均 14 小时</t>
        </is>
      </c>
      <c r="D22" s="32" t="inlineStr">
        <is>
          <t>Mombasa→Nairobi 干线</t>
        </is>
      </c>
      <c r="E22" s="35" t="inlineStr">
        <is>
          <t>🟡</t>
        </is>
      </c>
      <c r="F22" s="31" t="inlineStr">
        <is>
          <t>分布（P50/P90）未记录</t>
        </is>
      </c>
      <c r="G22" s="31" t="inlineStr">
        <is>
          <t>产品/SLA</t>
        </is>
      </c>
    </row>
    <row r="23" ht="30" customHeight="1" s="27">
      <c r="A23" s="31" t="inlineStr">
        <is>
          <t>履约</t>
        </is>
      </c>
      <c r="B23" s="31" t="inlineStr">
        <is>
          <t>回程配载率</t>
        </is>
      </c>
      <c r="C23" s="31" t="inlineStr">
        <is>
          <t>仅 5%</t>
        </is>
      </c>
      <c r="D23" s="31" t="inlineStr">
        <is>
          <t>当前实际</t>
        </is>
      </c>
      <c r="E23" s="35" t="inlineStr">
        <is>
          <t>🟡</t>
        </is>
      </c>
      <c r="F23" s="31" t="inlineStr">
        <is>
          <t>测量方法未书面化；是平台化最大提升空间</t>
        </is>
      </c>
      <c r="G23" s="32" t="inlineStr">
        <is>
          <t>BP/平台化</t>
        </is>
      </c>
    </row>
    <row r="24" ht="30" customHeight="1" s="27">
      <c r="A24" s="31" t="inlineStr">
        <is>
          <t>案例</t>
        </is>
      </c>
      <c r="B24" s="31" t="inlineStr">
        <is>
          <t>滞港解决案例</t>
        </is>
      </c>
      <c r="C24" s="31" t="inlineStr">
        <is>
          <t>一周解决 100 柜（他代理滞留 4–6 个月）</t>
        </is>
      </c>
      <c r="D24" s="31" t="inlineStr">
        <is>
          <t>客户可证实</t>
        </is>
      </c>
      <c r="E24" s="35" t="inlineStr">
        <is>
          <t>🟡</t>
        </is>
      </c>
      <c r="F24" s="31" t="inlineStr">
        <is>
          <t>🔴需客户书面/邮件证据，才能进 BP 引用</t>
        </is>
      </c>
      <c r="G24" s="32" t="inlineStr">
        <is>
          <t>BP/信任</t>
        </is>
      </c>
    </row>
    <row r="25" ht="30" customHeight="1" s="27">
      <c r="A25" s="31" t="inlineStr">
        <is>
          <t>地位</t>
        </is>
      </c>
      <c r="B25" s="31" t="inlineStr">
        <is>
          <t>「肯尼亚最大清关公司」</t>
        </is>
      </c>
      <c r="C25" s="31" t="inlineStr">
        <is>
          <t>无可引用依据</t>
        </is>
      </c>
      <c r="D25" s="32" t="inlineStr">
        <is>
          <t>——</t>
        </is>
      </c>
      <c r="E25" s="36" t="inlineStr">
        <is>
          <t>🔴</t>
        </is>
      </c>
      <c r="F25" s="31" t="inlineStr">
        <is>
          <t>需 KRA 数据/协会排名/清关单量份额三选一</t>
        </is>
      </c>
      <c r="G25" s="32" t="inlineStr">
        <is>
          <t>BP 红线</t>
        </is>
      </c>
    </row>
    <row r="26" ht="30" customHeight="1" s="27">
      <c r="A26" s="31" t="inlineStr">
        <is>
          <t>异常</t>
        </is>
      </c>
      <c r="B26" s="32" t="inlineStr">
        <is>
          <t>2026-02 柜量回落</t>
        </is>
      </c>
      <c r="C26" s="32" t="inlineStr">
        <is>
          <t>122 柜（1 月 150）</t>
        </is>
      </c>
      <c r="D26" s="31" t="inlineStr">
        <is>
          <t>疑似春节季节性</t>
        </is>
      </c>
      <c r="E26" s="36" t="inlineStr">
        <is>
          <t>🔴</t>
        </is>
      </c>
      <c r="F26" s="31" t="inlineStr">
        <is>
          <t>原因需标注，否则增长曲线被质疑</t>
        </is>
      </c>
      <c r="G26" s="31" t="inlineStr">
        <is>
          <t>尽调</t>
        </is>
      </c>
    </row>
    <row r="27" ht="30" customHeight="1" s="27">
      <c r="A27" s="31" t="inlineStr">
        <is>
          <t>口径</t>
        </is>
      </c>
      <c r="B27" s="31" t="inlineStr">
        <is>
          <t>票/柜对应关系</t>
        </is>
      </c>
      <c r="C27" s="32" t="inlineStr">
        <is>
          <t>150 票 vs 1,020 柜（8 月）</t>
        </is>
      </c>
      <c r="D27" s="31" t="inlineStr">
        <is>
          <t>一票多柜</t>
        </is>
      </c>
      <c r="E27" s="36" t="inlineStr">
        <is>
          <t>🔴</t>
        </is>
      </c>
      <c r="F27" s="31" t="inlineStr">
        <is>
          <t>对应规则需书面化</t>
        </is>
      </c>
      <c r="G27" s="31" t="inlineStr">
        <is>
          <t>数据字典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6" min="1" max="1"/>
    <col width="36" customWidth="1" style="26" min="2" max="3"/>
    <col width="8" customWidth="1" style="26" min="4" max="4"/>
    <col width="12" customWidth="1" style="26" min="5" max="5"/>
    <col width="14" customWidth="1" style="26" min="6" max="6"/>
    <col width="10" customWidth="1" style="26" min="7" max="7"/>
  </cols>
  <sheetData>
    <row r="1" ht="15" customHeight="1" s="27">
      <c r="A1" s="33" t="inlineStr">
        <is>
          <t>模块</t>
        </is>
      </c>
      <c r="B1" s="33" t="inlineStr">
        <is>
          <t>需要补齐的数据 / 材料</t>
        </is>
      </c>
      <c r="C1" s="33" t="inlineStr">
        <is>
          <t>为什么需要（用在哪）</t>
        </is>
      </c>
      <c r="D1" s="33" t="inlineStr">
        <is>
          <t>优先级</t>
        </is>
      </c>
      <c r="E1" s="33" t="inlineStr">
        <is>
          <t>责任人</t>
        </is>
      </c>
      <c r="F1" s="33" t="inlineStr">
        <is>
          <t>时点</t>
        </is>
      </c>
      <c r="G1" s="33" t="inlineStr">
        <is>
          <t>状态</t>
        </is>
      </c>
    </row>
    <row r="2" ht="30" customHeight="1" s="27">
      <c r="A2" s="32" t="inlineStr">
        <is>
          <t>A 财务与口径</t>
        </is>
      </c>
      <c r="B2" s="31" t="inlineStr">
        <is>
          <t>分月管理报表：收入/成本/毛利/净利（会计口径，区分代收代垫）</t>
        </is>
      </c>
      <c r="C2" s="31" t="inlineStr">
        <is>
          <t>融资尽调基线；把「流水 $800 万」翻译成可审计的收入表</t>
        </is>
      </c>
      <c r="D2" s="37" t="inlineStr">
        <is>
          <t>P0</t>
        </is>
      </c>
      <c r="E2" s="31" t="inlineStr">
        <is>
          <t>程志斌+陈德雷</t>
        </is>
      </c>
      <c r="F2" s="38" t="inlineStr">
        <is>
          <t>8/15 现场</t>
        </is>
      </c>
      <c r="G2" s="39" t="inlineStr">
        <is>
          <t>🔴 待补</t>
        </is>
      </c>
    </row>
    <row r="3" ht="30" customHeight="1" s="27">
      <c r="A3" s="32" t="inlineStr">
        <is>
          <t>A 财务与口径</t>
        </is>
      </c>
      <c r="B3" s="31" t="inlineStr">
        <is>
          <t>客单价构成拆解：清关服务费 / 运输 / 代缴税费 / 代垫</t>
        </is>
      </c>
      <c r="C3" s="31" t="inlineStr">
        <is>
          <t>决定收入确认口径（principal vs agent），直接影响估值叙事</t>
        </is>
      </c>
      <c r="D3" s="37" t="inlineStr">
        <is>
          <t>P0</t>
        </is>
      </c>
      <c r="E3" s="31" t="inlineStr">
        <is>
          <t>陈德雷</t>
        </is>
      </c>
      <c r="F3" s="39" t="inlineStr">
        <is>
          <t>本周</t>
        </is>
      </c>
      <c r="G3" s="39" t="inlineStr">
        <is>
          <t>🔴 待补</t>
        </is>
      </c>
    </row>
    <row r="4" ht="30" customHeight="1" s="27">
      <c r="A4" s="32" t="inlineStr">
        <is>
          <t>A 财务与口径</t>
        </is>
      </c>
      <c r="B4" s="31" t="inlineStr">
        <is>
          <t>应收账龄表 + 客户账期条款；应付（车队）账期实际执行</t>
        </is>
      </c>
      <c r="C4" s="31" t="inlineStr">
        <is>
          <t>营运资金缺口测算：DSO−DPO 决定 $300–500 万营运资金轨道的规模依据</t>
        </is>
      </c>
      <c r="D4" s="37" t="inlineStr">
        <is>
          <t>P0</t>
        </is>
      </c>
      <c r="E4" s="31" t="inlineStr">
        <is>
          <t>程志斌</t>
        </is>
      </c>
      <c r="F4" s="38" t="inlineStr">
        <is>
          <t>8/15 现场</t>
        </is>
      </c>
      <c r="G4" s="39" t="inlineStr">
        <is>
          <t>🔴 待补</t>
        </is>
      </c>
    </row>
    <row r="5" ht="30" customHeight="1" s="27">
      <c r="A5" s="32" t="inlineStr">
        <is>
          <t>A 财务与口径</t>
        </is>
      </c>
      <c r="B5" s="31" t="inlineStr">
        <is>
          <t>现金流水单（银行/M-PESA 对账）与利润勾稽</t>
        </is>
      </c>
      <c r="C5" s="31" t="inlineStr">
        <is>
          <t>投资人必查；也验证 H1 净利 $60 万</t>
        </is>
      </c>
      <c r="D5" s="37" t="inlineStr">
        <is>
          <t>P0</t>
        </is>
      </c>
      <c r="E5" s="31" t="inlineStr">
        <is>
          <t>程志斌</t>
        </is>
      </c>
      <c r="F5" s="38" t="inlineStr">
        <is>
          <t>8/15 现场</t>
        </is>
      </c>
      <c r="G5" s="39" t="inlineStr">
        <is>
          <t>🔴 待补</t>
        </is>
      </c>
    </row>
    <row r="6" ht="30" customHeight="1" s="27">
      <c r="A6" s="32" t="inlineStr">
        <is>
          <t>B 客户质量</t>
        </is>
      </c>
      <c r="B6" s="31" t="inlineStr">
        <is>
          <t>前 8 大客户清单：合同 vs 单票委托、账期、定价机制、续约记录</t>
        </is>
      </c>
      <c r="C6" s="31" t="inlineStr">
        <is>
          <t>客户质量与集中度风险的证据链；BP「95% 复购」的底稿</t>
        </is>
      </c>
      <c r="D6" s="37" t="inlineStr">
        <is>
          <t>P0</t>
        </is>
      </c>
      <c r="E6" s="31" t="inlineStr">
        <is>
          <t>陈德雷</t>
        </is>
      </c>
      <c r="F6" s="39" t="inlineStr">
        <is>
          <t>本周</t>
        </is>
      </c>
      <c r="G6" s="39" t="inlineStr">
        <is>
          <t>🔴 待补</t>
        </is>
      </c>
    </row>
    <row r="7" ht="30" customHeight="1" s="27">
      <c r="A7" s="32" t="inlineStr">
        <is>
          <t>B 客户质量</t>
        </is>
      </c>
      <c r="B7" s="31" t="inlineStr">
        <is>
          <t>客户访谈 3 家（为什么选 Sigma、最痛的环节、愿不愿上线上平台）</t>
        </is>
      </c>
      <c r="C7" s="31" t="inlineStr">
        <is>
          <t>平台冷启动的种子客户验证；BP 信任叙事</t>
        </is>
      </c>
      <c r="D7" s="40" t="inlineStr">
        <is>
          <t>P1</t>
        </is>
      </c>
      <c r="E7" s="31" t="inlineStr">
        <is>
          <t>陈小强</t>
        </is>
      </c>
      <c r="F7" s="38" t="inlineStr">
        <is>
          <t>8 月内</t>
        </is>
      </c>
      <c r="G7" s="39" t="inlineStr">
        <is>
          <t>🔴 待补</t>
        </is>
      </c>
    </row>
    <row r="8" ht="30" customHeight="1" s="27">
      <c r="A8" s="32" t="inlineStr">
        <is>
          <t>B 客户质量</t>
        </is>
      </c>
      <c r="B8" s="31" t="inlineStr">
        <is>
          <t>新客户 pipeline 与放弃/流失客户名单及原因</t>
        </is>
      </c>
      <c r="C8" s="31" t="inlineStr">
        <is>
          <t>增长可持续性；集中度改善计划</t>
        </is>
      </c>
      <c r="D8" s="40" t="inlineStr">
        <is>
          <t>P1</t>
        </is>
      </c>
      <c r="E8" s="31" t="inlineStr">
        <is>
          <t>陈德雷</t>
        </is>
      </c>
      <c r="F8" s="38" t="inlineStr">
        <is>
          <t>8 月内</t>
        </is>
      </c>
      <c r="G8" s="39" t="inlineStr">
        <is>
          <t>🔴 待补</t>
        </is>
      </c>
    </row>
    <row r="9" ht="30" customHeight="1" s="27">
      <c r="A9" s="32" t="inlineStr">
        <is>
          <t>C 清关履约</t>
        </is>
      </c>
      <c r="B9" s="31" t="inlineStr">
        <is>
          <t>卡点清单：环节 × 频次 × 平均延误 ×（非正式）成本</t>
        </is>
      </c>
      <c r="C9" s="31" t="inlineStr">
        <is>
          <t>平台产品的核心数据资产；也是 AI 数字员工的第一批 SOP</t>
        </is>
      </c>
      <c r="D9" s="37" t="inlineStr">
        <is>
          <t>P0</t>
        </is>
      </c>
      <c r="E9" s="31" t="inlineStr">
        <is>
          <t>陈德雷</t>
        </is>
      </c>
      <c r="F9" s="38" t="inlineStr">
        <is>
          <t>8/15 现场</t>
        </is>
      </c>
      <c r="G9" s="39" t="inlineStr">
        <is>
          <t>🔴 待补</t>
        </is>
      </c>
    </row>
    <row r="10" ht="30" customHeight="1" s="27">
      <c r="A10" s="32" t="inlineStr">
        <is>
          <t>C 清关履约</t>
        </is>
      </c>
      <c r="B10" s="31" t="inlineStr">
        <is>
          <t>清关时效分布：申报→放行 P50/P90（分海运/空运/EPZ）</t>
        </is>
      </c>
      <c r="C10" s="32" t="inlineStr">
        <is>
          <t>SLA 定价与「确定性」叙事的量化底座</t>
        </is>
      </c>
      <c r="D10" s="37" t="inlineStr">
        <is>
          <t>P0</t>
        </is>
      </c>
      <c r="E10" s="31" t="inlineStr">
        <is>
          <t>陈德雷</t>
        </is>
      </c>
      <c r="F10" s="38" t="inlineStr">
        <is>
          <t>8/15 现场</t>
        </is>
      </c>
      <c r="G10" s="39" t="inlineStr">
        <is>
          <t>🔴 待补</t>
        </is>
      </c>
    </row>
    <row r="11" ht="30" customHeight="1" s="27">
      <c r="A11" s="32" t="inlineStr">
        <is>
          <t>C 清关履约</t>
        </is>
      </c>
      <c r="B11" s="32" t="inlineStr">
        <is>
          <t>KRA 8/3 上线的进口预申报（advance cargo declaration）新规影响评估</t>
        </is>
      </c>
      <c r="C11" s="31" t="inlineStr">
        <is>
          <t>新规刚生效——对清关流程/时效/数据接口的影响，可能是平台切入点</t>
        </is>
      </c>
      <c r="D11" s="37" t="inlineStr">
        <is>
          <t>P0</t>
        </is>
      </c>
      <c r="E11" s="31" t="inlineStr">
        <is>
          <t>陈德雷</t>
        </is>
      </c>
      <c r="F11" s="39" t="inlineStr">
        <is>
          <t>本周</t>
        </is>
      </c>
      <c r="G11" s="39" t="inlineStr">
        <is>
          <t>🔴 待补</t>
        </is>
      </c>
    </row>
    <row r="12" ht="30" customHeight="1" s="27">
      <c r="A12" s="32" t="inlineStr">
        <is>
          <t>C 清关履约</t>
        </is>
      </c>
      <c r="B12" s="31" t="inlineStr">
        <is>
          <t>滞港 100 柜案例的书面证据（客户函/邮件/放行记录）</t>
        </is>
      </c>
      <c r="C12" s="32" t="inlineStr">
        <is>
          <t>BP 引用需可背书</t>
        </is>
      </c>
      <c r="D12" s="40" t="inlineStr">
        <is>
          <t>P1</t>
        </is>
      </c>
      <c r="E12" s="31" t="inlineStr">
        <is>
          <t>陈德雷</t>
        </is>
      </c>
      <c r="F12" s="38" t="inlineStr">
        <is>
          <t>8 月内</t>
        </is>
      </c>
      <c r="G12" s="39" t="inlineStr">
        <is>
          <t>🔴 待补</t>
        </is>
      </c>
    </row>
    <row r="13" ht="30" customHeight="1" s="27">
      <c r="A13" s="32" t="inlineStr">
        <is>
          <t>C 清关履约</t>
        </is>
      </c>
      <c r="B13" s="32" t="inlineStr">
        <is>
          <t>2026-02 柜量回落原因标注</t>
        </is>
      </c>
      <c r="C13" s="31" t="inlineStr">
        <is>
          <t>消除增长曲线质疑</t>
        </is>
      </c>
      <c r="D13" s="41" t="inlineStr">
        <is>
          <t>P2</t>
        </is>
      </c>
      <c r="E13" s="31" t="inlineStr">
        <is>
          <t>陈德雷</t>
        </is>
      </c>
      <c r="F13" s="38" t="inlineStr">
        <is>
          <t>8 月内</t>
        </is>
      </c>
      <c r="G13" s="39" t="inlineStr">
        <is>
          <t>🔴 待补</t>
        </is>
      </c>
    </row>
    <row r="14" ht="30" customHeight="1" s="27">
      <c r="A14" s="32" t="inlineStr">
        <is>
          <t>D 运力与线路</t>
        </is>
      </c>
      <c r="B14" s="32" t="inlineStr">
        <is>
          <t>8 家车队：合同、实际月调用车次、拒单/取消率、结算记录</t>
        </is>
      </c>
      <c r="C14" s="31" t="inlineStr">
        <is>
          <t>「585+ 可调度」按线路/时段验证真实可用车；平台运力池底稿</t>
        </is>
      </c>
      <c r="D14" s="40" t="inlineStr">
        <is>
          <t>P1</t>
        </is>
      </c>
      <c r="E14" s="31" t="inlineStr">
        <is>
          <t>陈德雷</t>
        </is>
      </c>
      <c r="F14" s="38" t="inlineStr">
        <is>
          <t>8/15 现场</t>
        </is>
      </c>
      <c r="G14" s="39" t="inlineStr">
        <is>
          <t>🔴 待补</t>
        </is>
      </c>
    </row>
    <row r="15" ht="30" customHeight="1" s="27">
      <c r="A15" s="32" t="inlineStr">
        <is>
          <t>D 运力与线路</t>
        </is>
      </c>
      <c r="B15" s="31" t="inlineStr">
        <is>
          <t>回程配载 5% 的测量方法与样本；回程货源类型</t>
        </is>
      </c>
      <c r="C15" s="31" t="inlineStr">
        <is>
          <t>平台化最大提升空间的基线数据</t>
        </is>
      </c>
      <c r="D15" s="40" t="inlineStr">
        <is>
          <t>P1</t>
        </is>
      </c>
      <c r="E15" s="31" t="inlineStr">
        <is>
          <t>陈德雷</t>
        </is>
      </c>
      <c r="F15" s="38" t="inlineStr">
        <is>
          <t>8/15 现场</t>
        </is>
      </c>
      <c r="G15" s="39" t="inlineStr">
        <is>
          <t>🔴 待补</t>
        </is>
      </c>
    </row>
    <row r="16" ht="30" customHeight="1" s="27">
      <c r="A16" s="32" t="inlineStr">
        <is>
          <t>D 运力与线路</t>
        </is>
      </c>
      <c r="B16" s="31" t="inlineStr">
        <is>
          <t>车辆/司机文件合规抽查（保险、许可、检验）</t>
        </is>
      </c>
      <c r="C16" s="31" t="inlineStr">
        <is>
          <t>平台派单前置校验的现状基线；合规风险排查</t>
        </is>
      </c>
      <c r="D16" s="40" t="inlineStr">
        <is>
          <t>P1</t>
        </is>
      </c>
      <c r="E16" s="31" t="inlineStr">
        <is>
          <t>陈小强</t>
        </is>
      </c>
      <c r="F16" s="38" t="inlineStr">
        <is>
          <t>8 月内</t>
        </is>
      </c>
      <c r="G16" s="39" t="inlineStr">
        <is>
          <t>🔴 待补</t>
        </is>
      </c>
    </row>
    <row r="17" ht="30" customHeight="1" s="27">
      <c r="A17" s="32" t="inlineStr">
        <is>
          <t>E 资质与合规</t>
        </is>
      </c>
      <c r="B17" s="32" t="inlineStr">
        <is>
          <t>Sigma 清关资质：KRA 持牌报关行执照、EPZ 相关许可、经营许可清单</t>
        </is>
      </c>
      <c r="C17" s="31" t="inlineStr">
        <is>
          <t>尽调必查；「持牌」是 BP 合规叙事的底座</t>
        </is>
      </c>
      <c r="D17" s="37" t="inlineStr">
        <is>
          <t>P0</t>
        </is>
      </c>
      <c r="E17" s="31" t="inlineStr">
        <is>
          <t>陈德雷</t>
        </is>
      </c>
      <c r="F17" s="39" t="inlineStr">
        <is>
          <t>本周</t>
        </is>
      </c>
      <c r="G17" s="39" t="inlineStr">
        <is>
          <t>🔴 待补</t>
        </is>
      </c>
    </row>
    <row r="18" ht="30" customHeight="1" s="27">
      <c r="A18" s="32" t="inlineStr">
        <is>
          <t>E 资质与合规</t>
        </is>
      </c>
      <c r="B18" s="31" t="inlineStr">
        <is>
          <t>「肯尼亚最大清关公司」可引用依据（KRA 单量份额/协会排名）</t>
        </is>
      </c>
      <c r="C18" s="32" t="inlineStr">
        <is>
          <t>BP 红线：拿不到就改口径为「头部/领先」</t>
        </is>
      </c>
      <c r="D18" s="37" t="inlineStr">
        <is>
          <t>P0</t>
        </is>
      </c>
      <c r="E18" s="31" t="inlineStr">
        <is>
          <t>陈德雷</t>
        </is>
      </c>
      <c r="F18" s="39" t="inlineStr">
        <is>
          <t>本周</t>
        </is>
      </c>
      <c r="G18" s="39" t="inlineStr">
        <is>
          <t>🔴 待补</t>
        </is>
      </c>
    </row>
    <row r="19" ht="30" customHeight="1" s="27">
      <c r="A19" s="32" t="inlineStr">
        <is>
          <t>E 资质与合规</t>
        </is>
      </c>
      <c r="B19" s="31" t="inlineStr">
        <is>
          <t>税务合规状态：eTIMS 开票、VAT 申报、代缴税费的会计处理</t>
        </is>
      </c>
      <c r="C19" s="32" t="inlineStr">
        <is>
          <t>Sendy 税案教训：principal 身份的 VAT 风险要提前排</t>
        </is>
      </c>
      <c r="D19" s="37" t="inlineStr">
        <is>
          <t>P0</t>
        </is>
      </c>
      <c r="E19" s="31" t="inlineStr">
        <is>
          <t>程志斌</t>
        </is>
      </c>
      <c r="F19" s="38" t="inlineStr">
        <is>
          <t>8/15 现场</t>
        </is>
      </c>
      <c r="G19" s="39" t="inlineStr">
        <is>
          <t>🔴 待补</t>
        </is>
      </c>
    </row>
    <row r="20" ht="30" customHeight="1" s="27">
      <c r="A20" s="32" t="inlineStr">
        <is>
          <t>E 资质与合规</t>
        </is>
      </c>
      <c r="B20" s="31" t="inlineStr">
        <is>
          <t>货物/责任保险安排现状与理赔记录</t>
        </is>
      </c>
      <c r="C20" s="31" t="inlineStr">
        <is>
          <t>责任型 3PL 定价与保险模型输入</t>
        </is>
      </c>
      <c r="D20" s="40" t="inlineStr">
        <is>
          <t>P1</t>
        </is>
      </c>
      <c r="E20" s="31" t="inlineStr">
        <is>
          <t>陈德雷</t>
        </is>
      </c>
      <c r="F20" s="38" t="inlineStr">
        <is>
          <t>8 月内</t>
        </is>
      </c>
      <c r="G20" s="39" t="inlineStr">
        <is>
          <t>🔴 待补</t>
        </is>
      </c>
    </row>
    <row r="21" ht="30" customHeight="1" s="27">
      <c r="A21" s="32" t="inlineStr">
        <is>
          <t>F 团队与系统</t>
        </is>
      </c>
      <c r="B21" s="32" t="inlineStr">
        <is>
          <t>Sigma 人员结构：岗位 × 人数 × 人均处理柜量</t>
        </is>
      </c>
      <c r="C21" s="31" t="inlineStr">
        <is>
          <t>人效基线 → AI 数字员工的提效目标值</t>
        </is>
      </c>
      <c r="D21" s="40" t="inlineStr">
        <is>
          <t>P1</t>
        </is>
      </c>
      <c r="E21" s="31" t="inlineStr">
        <is>
          <t>陈德雷</t>
        </is>
      </c>
      <c r="F21" s="38" t="inlineStr">
        <is>
          <t>8/15 现场</t>
        </is>
      </c>
      <c r="G21" s="39" t="inlineStr">
        <is>
          <t>🔴 待补</t>
        </is>
      </c>
    </row>
    <row r="22" ht="30" customHeight="1" s="27">
      <c r="A22" s="32" t="inlineStr">
        <is>
          <t>F 团队与系统</t>
        </is>
      </c>
      <c r="B22" s="31" t="inlineStr">
        <is>
          <t>现有系统/表格盘点：数据留存在哪、什么格式、能否导出</t>
        </is>
      </c>
      <c r="C22" s="32" t="inlineStr">
        <is>
          <t>TMS 迁移与数据资产评估；数字化基线</t>
        </is>
      </c>
      <c r="D22" s="37" t="inlineStr">
        <is>
          <t>P0</t>
        </is>
      </c>
      <c r="E22" s="31" t="inlineStr">
        <is>
          <t>梁嘉文</t>
        </is>
      </c>
      <c r="F22" s="38" t="inlineStr">
        <is>
          <t>8/15 现场</t>
        </is>
      </c>
      <c r="G22" s="39" t="inlineStr">
        <is>
          <t>🔴 待补</t>
        </is>
      </c>
    </row>
    <row r="23" ht="30" customHeight="1" s="27">
      <c r="A23" s="32" t="inlineStr">
        <is>
          <t>F 团队与系统</t>
        </is>
      </c>
      <c r="B23" s="31" t="inlineStr">
        <is>
          <t>核心 SOP 口述→文档化清单（清关全流程逐环节）</t>
        </is>
      </c>
      <c r="C23" s="31" t="inlineStr">
        <is>
          <t>知识外化：数字员工训练语料的源头</t>
        </is>
      </c>
      <c r="D23" s="40" t="inlineStr">
        <is>
          <t>P1</t>
        </is>
      </c>
      <c r="E23" s="31" t="inlineStr">
        <is>
          <t>梁嘉文+陈德雷</t>
        </is>
      </c>
      <c r="F23" s="38" t="inlineStr">
        <is>
          <t>9 月</t>
        </is>
      </c>
      <c r="G23" s="39" t="inlineStr">
        <is>
          <t>🔴 待补</t>
        </is>
      </c>
    </row>
    <row r="24" ht="30" customHeight="1" s="27">
      <c r="A24" s="32" t="inlineStr">
        <is>
          <t>G 平台化准备</t>
        </is>
      </c>
      <c r="B24" s="31" t="inlineStr">
        <is>
          <t>首批可迁移线上的客户与场景排序</t>
        </is>
      </c>
      <c r="C24" s="31" t="inlineStr">
        <is>
          <t>平台 MVP 的种子交易；「第一个大客户」落地路径</t>
        </is>
      </c>
      <c r="D24" s="40" t="inlineStr">
        <is>
          <t>P1</t>
        </is>
      </c>
      <c r="E24" s="31" t="inlineStr">
        <is>
          <t>梁嘉文</t>
        </is>
      </c>
      <c r="F24" s="38" t="inlineStr">
        <is>
          <t>9 月</t>
        </is>
      </c>
      <c r="G24" s="39" t="inlineStr">
        <is>
          <t>🔴 待补</t>
        </is>
      </c>
    </row>
    <row r="25" ht="30" customHeight="1" s="27">
      <c r="A25" s="32" t="inlineStr">
        <is>
          <t>G 平台化准备</t>
        </is>
      </c>
      <c r="B25" s="32" t="inlineStr">
        <is>
          <t>Sigma 与非快达平台的关联交易定价框架（转移定价）</t>
        </is>
      </c>
      <c r="C25" s="31" t="inlineStr">
        <is>
          <t>架构合规：上市前必须干净</t>
        </is>
      </c>
      <c r="D25" s="40" t="inlineStr">
        <is>
          <t>P1</t>
        </is>
      </c>
      <c r="E25" s="31" t="inlineStr">
        <is>
          <t>程志斌</t>
        </is>
      </c>
      <c r="F25" s="38" t="inlineStr">
        <is>
          <t>9 月</t>
        </is>
      </c>
      <c r="G25" s="39" t="inlineStr">
        <is>
          <t>🔴 待补</t>
        </is>
      </c>
    </row>
    <row r="26"/>
    <row r="27" ht="29.85" customHeight="1" s="27">
      <c r="B27" s="30" t="inlineStr">
        <is>
          <t>合计 24 项；P0 12 项（本周/8月15日现场核数前必须完成）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2" customWidth="1" style="26" min="2" max="3"/>
    <col width="14" customWidth="1" style="26" min="4" max="5"/>
    <col width="16" customWidth="1" style="26" min="6" max="6"/>
    <col width="30" customWidth="1" style="26" min="7" max="7"/>
  </cols>
  <sheetData>
    <row r="1" ht="15" customHeight="1" s="27">
      <c r="A1" s="33" t="inlineStr">
        <is>
          <t>月份</t>
        </is>
      </c>
      <c r="B1" s="33" t="inlineStr">
        <is>
          <t>柜量</t>
        </is>
      </c>
      <c r="C1" s="33" t="inlineStr">
        <is>
          <t>票数</t>
        </is>
      </c>
      <c r="D1" s="33" t="inlineStr">
        <is>
          <t>柜/票</t>
        </is>
      </c>
      <c r="E1" s="33" t="inlineStr">
        <is>
          <t>环比</t>
        </is>
      </c>
      <c r="F1" s="33" t="inlineStr">
        <is>
          <t>累计柜量</t>
        </is>
      </c>
      <c r="G1" s="33" t="inlineStr">
        <is>
          <t>备注</t>
        </is>
      </c>
    </row>
    <row r="2" ht="15" customHeight="1" s="27">
      <c r="A2" s="38" t="inlineStr">
        <is>
          <t>2025-09</t>
        </is>
      </c>
      <c r="B2" s="42" t="n">
        <v>33</v>
      </c>
      <c r="C2" s="42" t="n">
        <v>6</v>
      </c>
      <c r="D2" s="43">
        <f>B2/C2</f>
        <v/>
      </c>
      <c r="E2" s="38" t="inlineStr">
        <is>
          <t>—</t>
        </is>
      </c>
      <c r="F2" s="42">
        <f>SUM(B$2:B2)</f>
        <v/>
      </c>
      <c r="G2" s="31" t="n"/>
    </row>
    <row r="3" ht="15" customHeight="1" s="27">
      <c r="A3" s="38" t="inlineStr">
        <is>
          <t>2025-10</t>
        </is>
      </c>
      <c r="B3" s="42" t="n">
        <v>54</v>
      </c>
      <c r="C3" s="42" t="n">
        <v>10</v>
      </c>
      <c r="D3" s="43">
        <f>B3/C3</f>
        <v/>
      </c>
      <c r="E3" s="44">
        <f>B3/B2-1</f>
        <v/>
      </c>
      <c r="F3" s="42">
        <f>SUM(B$2:B3)</f>
        <v/>
      </c>
      <c r="G3" s="31" t="n"/>
    </row>
    <row r="4" ht="15" customHeight="1" s="27">
      <c r="A4" s="38" t="inlineStr">
        <is>
          <t>2025-11</t>
        </is>
      </c>
      <c r="B4" s="42" t="n">
        <v>76</v>
      </c>
      <c r="C4" s="42" t="n">
        <v>12</v>
      </c>
      <c r="D4" s="43">
        <f>B4/C4</f>
        <v/>
      </c>
      <c r="E4" s="44">
        <f>B4/B3-1</f>
        <v/>
      </c>
      <c r="F4" s="42">
        <f>SUM(B$2:B4)</f>
        <v/>
      </c>
      <c r="G4" s="31" t="n"/>
    </row>
    <row r="5" ht="15" customHeight="1" s="27">
      <c r="A5" s="38" t="inlineStr">
        <is>
          <t>2025-12</t>
        </is>
      </c>
      <c r="B5" s="42" t="n">
        <v>101</v>
      </c>
      <c r="C5" s="42" t="n">
        <v>20</v>
      </c>
      <c r="D5" s="43">
        <f>B5/C5</f>
        <v/>
      </c>
      <c r="E5" s="44">
        <f>B5/B4-1</f>
        <v/>
      </c>
      <c r="F5" s="42">
        <f>SUM(B$2:B5)</f>
        <v/>
      </c>
      <c r="G5" s="31" t="n"/>
    </row>
    <row r="6" ht="15" customHeight="1" s="27">
      <c r="A6" s="38" t="inlineStr">
        <is>
          <t>2026-01</t>
        </is>
      </c>
      <c r="B6" s="42" t="n">
        <v>150</v>
      </c>
      <c r="C6" s="42" t="n">
        <v>22</v>
      </c>
      <c r="D6" s="43">
        <f>B6/C6</f>
        <v/>
      </c>
      <c r="E6" s="44">
        <f>B6/B5-1</f>
        <v/>
      </c>
      <c r="F6" s="42">
        <f>SUM(B$2:B6)</f>
        <v/>
      </c>
      <c r="G6" s="31" t="n"/>
    </row>
    <row r="7" ht="29.85" customHeight="1" s="27">
      <c r="A7" s="38" t="inlineStr">
        <is>
          <t>2026-02</t>
        </is>
      </c>
      <c r="B7" s="42" t="n">
        <v>122</v>
      </c>
      <c r="C7" s="42" t="n">
        <v>15</v>
      </c>
      <c r="D7" s="43">
        <f>B7/C7</f>
        <v/>
      </c>
      <c r="E7" s="44">
        <f>B7/B6-1</f>
        <v/>
      </c>
      <c r="F7" s="42">
        <f>SUM(B$2:B7)</f>
        <v/>
      </c>
      <c r="G7" s="31" t="inlineStr">
        <is>
          <t>回落：原因待标注（疑似春节季节性）</t>
        </is>
      </c>
    </row>
    <row r="8" ht="15" customHeight="1" s="27">
      <c r="A8" s="38" t="inlineStr">
        <is>
          <t>2026-03</t>
        </is>
      </c>
      <c r="B8" s="42" t="n">
        <v>265</v>
      </c>
      <c r="C8" s="42" t="n">
        <v>27</v>
      </c>
      <c r="D8" s="43">
        <f>B8/C8</f>
        <v/>
      </c>
      <c r="E8" s="44">
        <f>B8/B7-1</f>
        <v/>
      </c>
      <c r="F8" s="42">
        <f>SUM(B$2:B8)</f>
        <v/>
      </c>
      <c r="G8" s="31" t="n"/>
    </row>
    <row r="9" ht="15" customHeight="1" s="27">
      <c r="A9" s="38" t="inlineStr">
        <is>
          <t>2026-04</t>
        </is>
      </c>
      <c r="B9" s="42" t="n">
        <v>314</v>
      </c>
      <c r="C9" s="42" t="n">
        <v>72</v>
      </c>
      <c r="D9" s="43">
        <f>B9/C9</f>
        <v/>
      </c>
      <c r="E9" s="44">
        <f>B9/B8-1</f>
        <v/>
      </c>
      <c r="F9" s="42">
        <f>SUM(B$2:B9)</f>
        <v/>
      </c>
      <c r="G9" s="31" t="n"/>
    </row>
    <row r="10" ht="15" customHeight="1" s="27">
      <c r="A10" s="38" t="inlineStr">
        <is>
          <t>2026-05</t>
        </is>
      </c>
      <c r="B10" s="42" t="n">
        <v>501</v>
      </c>
      <c r="C10" s="42" t="n">
        <v>90</v>
      </c>
      <c r="D10" s="43">
        <f>B10/C10</f>
        <v/>
      </c>
      <c r="E10" s="44">
        <f>B10/B9-1</f>
        <v/>
      </c>
      <c r="F10" s="42">
        <f>SUM(B$2:B10)</f>
        <v/>
      </c>
      <c r="G10" s="31" t="n"/>
    </row>
    <row r="11" ht="15" customHeight="1" s="27">
      <c r="A11" s="38" t="inlineStr">
        <is>
          <t>2026-06</t>
        </is>
      </c>
      <c r="B11" s="42" t="n">
        <v>804</v>
      </c>
      <c r="C11" s="42" t="n">
        <v>120</v>
      </c>
      <c r="D11" s="43">
        <f>B11/C11</f>
        <v/>
      </c>
      <c r="E11" s="44">
        <f>B11/B10-1</f>
        <v/>
      </c>
      <c r="F11" s="42">
        <f>SUM(B$2:B11)</f>
        <v/>
      </c>
      <c r="G11" s="31" t="n"/>
    </row>
    <row r="12" ht="15" customHeight="1" s="27">
      <c r="A12" s="38" t="inlineStr">
        <is>
          <t>2026-07</t>
        </is>
      </c>
      <c r="B12" s="42" t="n">
        <v>946</v>
      </c>
      <c r="C12" s="42" t="n">
        <v>137</v>
      </c>
      <c r="D12" s="43">
        <f>B12/C12</f>
        <v/>
      </c>
      <c r="E12" s="44">
        <f>B12/B11-1</f>
        <v/>
      </c>
      <c r="F12" s="42">
        <f>SUM(B$2:B12)</f>
        <v/>
      </c>
      <c r="G12" s="31" t="n"/>
    </row>
    <row r="13" ht="15" customHeight="1" s="27">
      <c r="A13" s="38" t="inlineStr">
        <is>
          <t>2026-08</t>
        </is>
      </c>
      <c r="B13" s="42" t="n">
        <v>1020</v>
      </c>
      <c r="C13" s="42" t="n">
        <v>150</v>
      </c>
      <c r="D13" s="43">
        <f>B13/C13</f>
        <v/>
      </c>
      <c r="E13" s="44">
        <f>B13/B12-1</f>
        <v/>
      </c>
      <c r="F13" s="42">
        <f>SUM(B$2:B13)</f>
        <v/>
      </c>
      <c r="G13" s="31" t="inlineStr">
        <is>
          <t>月千柜达成</t>
        </is>
      </c>
    </row>
    <row r="14" ht="15" customHeight="1" s="27">
      <c r="A14" s="45" t="inlineStr">
        <is>
          <t>合计</t>
        </is>
      </c>
      <c r="B14" s="46">
        <f>SUM(B2:B13)</f>
        <v/>
      </c>
      <c r="C14" s="46">
        <f>SUM(C2:C13)</f>
        <v/>
      </c>
      <c r="D14" s="47" t="n"/>
      <c r="E14" s="47" t="n"/>
      <c r="F14" s="47" t="n"/>
      <c r="G14" s="47" t="n"/>
    </row>
    <row r="15"/>
    <row r="16" ht="15" customHeight="1" s="27">
      <c r="A16" s="48" t="inlineStr">
        <is>
          <t>推演（公式，客单价可改）</t>
        </is>
      </c>
    </row>
    <row r="17" ht="15" customHeight="1" s="27">
      <c r="A17" s="31" t="inlineStr">
        <is>
          <t>加权客单价（$/柜）</t>
        </is>
      </c>
      <c r="B17" s="49" t="n">
        <v>2357</v>
      </c>
      <c r="C17" s="50" t="inlineStr">
        <is>
          <t>蓝色可改：口径厘清后更新</t>
        </is>
      </c>
      <c r="D17" s="51" t="n"/>
      <c r="E17" s="52" t="n"/>
    </row>
    <row r="18" ht="15" customHeight="1" s="27">
      <c r="A18" s="32" t="inlineStr">
        <is>
          <t>8 月流水 run-rate（$/月）</t>
        </is>
      </c>
      <c r="B18" s="53">
        <f>B13*B17</f>
        <v/>
      </c>
      <c r="C18" s="50" t="inlineStr">
        <is>
          <t>柜量 × 客单价</t>
        </is>
      </c>
      <c r="D18" s="51" t="n"/>
      <c r="E18" s="52" t="n"/>
    </row>
    <row r="19" ht="15" customHeight="1" s="27">
      <c r="A19" s="31" t="inlineStr">
        <is>
          <t>年化流水（$）</t>
        </is>
      </c>
      <c r="B19" s="53">
        <f>B18*12</f>
        <v/>
      </c>
      <c r="C19" s="54" t="inlineStr">
        <is>
          <t>run-rate 口径，对外注明</t>
        </is>
      </c>
      <c r="D19" s="51" t="n"/>
      <c r="E19" s="52" t="n"/>
    </row>
    <row r="20" ht="15" customHeight="1" s="27">
      <c r="A20" s="32" t="inlineStr">
        <is>
          <t>12 个月累计流水估算（$）</t>
        </is>
      </c>
      <c r="B20" s="53">
        <f>B14*B17</f>
        <v/>
      </c>
      <c r="C20" s="50" t="inlineStr">
        <is>
          <t>累计口径 ≈ $10M 量级</t>
        </is>
      </c>
      <c r="D20" s="51" t="n"/>
      <c r="E20" s="52" t="n"/>
    </row>
    <row r="21" ht="15" customHeight="1" s="27">
      <c r="A21" s="32" t="inlineStr">
        <is>
          <t>2026 H1 柜量（柜）</t>
        </is>
      </c>
      <c r="B21" s="53">
        <f>SUM(B6:B11)</f>
        <v/>
      </c>
      <c r="C21" s="54" t="inlineStr">
        <is>
          <t>1–6 月</t>
        </is>
      </c>
      <c r="D21" s="51" t="n"/>
      <c r="E21" s="52" t="n"/>
    </row>
    <row r="22" ht="15" customHeight="1" s="27">
      <c r="A22" s="32" t="inlineStr">
        <is>
          <t>H1 毛利估算 @ $421/柜（$）</t>
        </is>
      </c>
      <c r="B22" s="53">
        <f>B21*421</f>
        <v/>
      </c>
      <c r="C22" s="50" t="inlineStr">
        <is>
          <t>与 H1 净利 $60 万自洽（扣固定费）</t>
        </is>
      </c>
      <c r="D22" s="51" t="n"/>
      <c r="E22" s="52" t="n"/>
    </row>
  </sheetData>
  <mergeCells count="6">
    <mergeCell ref="C19:E19"/>
    <mergeCell ref="C22:E22"/>
    <mergeCell ref="C18:E18"/>
    <mergeCell ref="C17:E17"/>
    <mergeCell ref="C21:E21"/>
    <mergeCell ref="C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2026-08-04T01:53:32Z</dcterms:created>
  <dcterms:modified xmlns:dcterms="http://purl.org/dc/terms/" xmlns:xsi="http://www.w3.org/2001/XMLSchema-instance" xsi:type="dcterms:W3CDTF">2026-08-06T10:30:13Z</dcterms:modified>
  <cp:revision>0</cp:revision>
</cp:coreProperties>
</file>