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1-已有数据台账" sheetId="2" state="visible" r:id="rId4"/>
    <sheet name="2-待补数据清单" sheetId="3" state="visible" r:id="rId5"/>
    <sheet name="3-月度经营数据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<sst xmlns="http://schemas.openxmlformats.org/spreadsheetml/2006/main" count="411" uniqueCount="268">
  <si>
    <r>
      <rPr>
        <b val="true"/>
        <sz val="16"/>
        <color rgb="FF0D1B2E"/>
        <rFont val="Arial"/>
        <family val="0"/>
        <charset val="1"/>
      </rPr>
      <t xml:space="preserve">Sigma </t>
    </r>
    <r>
      <rPr>
        <b val="true"/>
        <sz val="16"/>
        <color rgb="FF0D1B2E"/>
        <rFont val="Noto Sans CJK SC"/>
        <family val="2"/>
      </rPr>
      <t xml:space="preserve">业务数据盘点表</t>
    </r>
  </si>
  <si>
    <r>
      <rPr>
        <sz val="9"/>
        <color rgb="FF666666"/>
        <rFont val="Noto Sans CJK SC"/>
        <family val="2"/>
      </rPr>
      <t xml:space="preserve">更新：</t>
    </r>
    <r>
      <rPr>
        <sz val="9"/>
        <color rgb="FF666666"/>
        <rFont val="Arial"/>
        <family val="0"/>
        <charset val="1"/>
      </rPr>
      <t xml:space="preserve">2026-08-04 · </t>
    </r>
    <r>
      <rPr>
        <sz val="9"/>
        <color rgb="FF666666"/>
        <rFont val="Noto Sans CJK SC"/>
        <family val="2"/>
      </rPr>
      <t xml:space="preserve">数据上游：陈德雷 </t>
    </r>
    <r>
      <rPr>
        <sz val="9"/>
        <color rgb="FF666666"/>
        <rFont val="Arial"/>
        <family val="0"/>
        <charset val="1"/>
      </rPr>
      <t xml:space="preserve">2026-08 </t>
    </r>
    <r>
      <rPr>
        <sz val="9"/>
        <color rgb="FF666666"/>
        <rFont val="Noto Sans CJK SC"/>
        <family val="2"/>
      </rPr>
      <t xml:space="preserve">首轮粗数（</t>
    </r>
    <r>
      <rPr>
        <sz val="9"/>
        <color rgb="FF666666"/>
        <rFont val="Arial"/>
        <family val="0"/>
        <charset val="1"/>
      </rPr>
      <t xml:space="preserve">assets/data/Sigma</t>
    </r>
    <r>
      <rPr>
        <sz val="9"/>
        <color rgb="FF666666"/>
        <rFont val="Noto Sans CJK SC"/>
        <family val="2"/>
      </rPr>
      <t xml:space="preserve">业务数据</t>
    </r>
    <r>
      <rPr>
        <sz val="9"/>
        <color rgb="FF666666"/>
        <rFont val="Arial"/>
        <family val="0"/>
        <charset val="1"/>
      </rPr>
      <t xml:space="preserve">_</t>
    </r>
    <r>
      <rPr>
        <sz val="9"/>
        <color rgb="FF666666"/>
        <rFont val="Noto Sans CJK SC"/>
        <family val="2"/>
      </rPr>
      <t xml:space="preserve">陈德雷</t>
    </r>
    <r>
      <rPr>
        <sz val="9"/>
        <color rgb="FF666666"/>
        <rFont val="Arial"/>
        <family val="0"/>
        <charset val="1"/>
      </rPr>
      <t xml:space="preserve">_2026-08.xlsx</t>
    </r>
    <r>
      <rPr>
        <sz val="9"/>
        <color rgb="FF666666"/>
        <rFont val="Noto Sans CJK SC"/>
        <family val="2"/>
      </rPr>
      <t xml:space="preserve">）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Noto Sans CJK SC"/>
        <family val="2"/>
      </rPr>
      <t xml:space="preserve">仓库：</t>
    </r>
    <r>
      <rPr>
        <sz val="9"/>
        <color rgb="FF666666"/>
        <rFont val="Arial"/>
        <family val="0"/>
        <charset val="1"/>
      </rPr>
      <t xml:space="preserve">docs/02-business/Sigma</t>
    </r>
    <r>
      <rPr>
        <sz val="9"/>
        <color rgb="FF666666"/>
        <rFont val="Noto Sans CJK SC"/>
        <family val="2"/>
      </rPr>
      <t xml:space="preserve">业务数据台账</t>
    </r>
    <r>
      <rPr>
        <sz val="9"/>
        <color rgb="FF666666"/>
        <rFont val="Arial"/>
        <family val="0"/>
        <charset val="1"/>
      </rPr>
      <t xml:space="preserve">.md</t>
    </r>
  </si>
  <si>
    <r>
      <rPr>
        <b val="true"/>
        <sz val="10"/>
        <color rgb="FF000000"/>
        <rFont val="Noto Sans CJK SC"/>
        <family val="2"/>
      </rPr>
      <t xml:space="preserve">表</t>
    </r>
    <r>
      <rPr>
        <b val="true"/>
        <sz val="10"/>
        <color rgb="FF000000"/>
        <rFont val="Arial"/>
        <family val="0"/>
        <charset val="1"/>
      </rPr>
      <t xml:space="preserve">1 · </t>
    </r>
    <r>
      <rPr>
        <b val="true"/>
        <sz val="10"/>
        <color rgb="FF000000"/>
        <rFont val="Noto Sans CJK SC"/>
        <family val="2"/>
      </rPr>
      <t xml:space="preserve">已有数据台账</t>
    </r>
  </si>
  <si>
    <r>
      <rPr>
        <sz val="10"/>
        <color rgb="FF000000"/>
        <rFont val="Noto Sans CJK SC"/>
        <family val="2"/>
      </rPr>
      <t xml:space="preserve">已交付的首轮数据，逐项标注口径与核实状态；黄色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待现场核数或口径待厘清</t>
    </r>
  </si>
  <si>
    <r>
      <rPr>
        <b val="true"/>
        <sz val="10"/>
        <color rgb="FF000000"/>
        <rFont val="Noto Sans CJK SC"/>
        <family val="2"/>
      </rPr>
      <t xml:space="preserve">表</t>
    </r>
    <r>
      <rPr>
        <b val="true"/>
        <sz val="10"/>
        <color rgb="FF000000"/>
        <rFont val="Arial"/>
        <family val="0"/>
        <charset val="1"/>
      </rPr>
      <t xml:space="preserve">2 · </t>
    </r>
    <r>
      <rPr>
        <b val="true"/>
        <sz val="10"/>
        <color rgb="FF000000"/>
        <rFont val="Noto Sans CJK SC"/>
        <family val="2"/>
      </rPr>
      <t xml:space="preserve">待补数据清单</t>
    </r>
  </si>
  <si>
    <r>
      <rPr>
        <sz val="10"/>
        <color rgb="FF000000"/>
        <rFont val="Noto Sans CJK SC"/>
        <family val="2"/>
      </rPr>
      <t xml:space="preserve">进一步了解 </t>
    </r>
    <r>
      <rPr>
        <sz val="10"/>
        <color rgb="FF000000"/>
        <rFont val="Arial"/>
        <family val="0"/>
        <charset val="1"/>
      </rPr>
      <t xml:space="preserve">Sigma </t>
    </r>
    <r>
      <rPr>
        <sz val="10"/>
        <color rgb="FF000000"/>
        <rFont val="Noto Sans CJK SC"/>
        <family val="2"/>
      </rPr>
      <t xml:space="preserve">业务需要补的数据与材料，按 </t>
    </r>
    <r>
      <rPr>
        <sz val="10"/>
        <color rgb="FF000000"/>
        <rFont val="Arial"/>
        <family val="0"/>
        <charset val="1"/>
      </rPr>
      <t xml:space="preserve">P0/P1/P2 </t>
    </r>
    <r>
      <rPr>
        <sz val="10"/>
        <color rgb="FF000000"/>
        <rFont val="Noto Sans CJK SC"/>
        <family val="2"/>
      </rPr>
      <t xml:space="preserve">优先级与责任人管理</t>
    </r>
  </si>
  <si>
    <r>
      <rPr>
        <b val="true"/>
        <sz val="10"/>
        <color rgb="FF000000"/>
        <rFont val="Noto Sans CJK SC"/>
        <family val="2"/>
      </rPr>
      <t xml:space="preserve">表</t>
    </r>
    <r>
      <rPr>
        <b val="true"/>
        <sz val="10"/>
        <color rgb="FF000000"/>
        <rFont val="Arial"/>
        <family val="0"/>
        <charset val="1"/>
      </rPr>
      <t xml:space="preserve">3 · </t>
    </r>
    <r>
      <rPr>
        <b val="true"/>
        <sz val="10"/>
        <color rgb="FF000000"/>
        <rFont val="Noto Sans CJK SC"/>
        <family val="2"/>
      </rPr>
      <t xml:space="preserve">月度经营数据</t>
    </r>
  </si>
  <si>
    <r>
      <rPr>
        <sz val="10"/>
        <color rgb="FF000000"/>
        <rFont val="Arial"/>
        <family val="0"/>
        <charset val="1"/>
      </rPr>
      <t xml:space="preserve">2025-09 → 2026-08 </t>
    </r>
    <r>
      <rPr>
        <sz val="10"/>
        <color rgb="FF000000"/>
        <rFont val="Noto Sans CJK SC"/>
        <family val="2"/>
      </rPr>
      <t xml:space="preserve">逐月柜量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票数，含公式（累计、环比、加权客单、</t>
    </r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推演）</t>
    </r>
  </si>
  <si>
    <t xml:space="preserve">状态口径</t>
  </si>
  <si>
    <r>
      <rPr>
        <sz val="10"/>
        <color rgb="FF000000"/>
        <rFont val="Noto Sans CJK SC"/>
        <family val="2"/>
      </rPr>
      <t xml:space="preserve">✅ 已核实（有原始凭据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交叉验算自洽）｜🟡 待核对（数据已有，</t>
    </r>
    <r>
      <rPr>
        <sz val="10"/>
        <color rgb="FF000000"/>
        <rFont val="Arial"/>
        <family val="0"/>
        <charset val="1"/>
      </rPr>
      <t xml:space="preserve">8/15 </t>
    </r>
    <r>
      <rPr>
        <sz val="10"/>
        <color rgb="FF000000"/>
        <rFont val="Noto Sans CJK SC"/>
        <family val="2"/>
      </rPr>
      <t xml:space="preserve">现场核数或需口径确认）｜🔴 待补齐（尚无数据）</t>
    </r>
  </si>
  <si>
    <t xml:space="preserve">使用规则</t>
  </si>
  <si>
    <r>
      <rPr>
        <sz val="10"/>
        <color rgb="FF000000"/>
        <rFont val="Noto Sans CJK SC"/>
        <family val="2"/>
      </rPr>
      <t xml:space="preserve">对外引用任何数字前，先查本表状态列；🟡</t>
    </r>
    <r>
      <rPr>
        <sz val="10"/>
        <color rgb="FF000000"/>
        <rFont val="Arial"/>
        <family val="0"/>
        <charset val="1"/>
      </rPr>
      <t xml:space="preserve">/🔴 </t>
    </r>
    <r>
      <rPr>
        <sz val="10"/>
        <color rgb="FF000000"/>
        <rFont val="Noto Sans CJK SC"/>
        <family val="2"/>
      </rPr>
      <t xml:space="preserve">状态的数字不进 </t>
    </r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与投资人材料</t>
    </r>
  </si>
  <si>
    <t xml:space="preserve">类别</t>
  </si>
  <si>
    <t xml:space="preserve">数据项</t>
  </si>
  <si>
    <t xml:space="preserve">现值</t>
  </si>
  <si>
    <t xml:space="preserve">口径说明</t>
  </si>
  <si>
    <t xml:space="preserve">状态</t>
  </si>
  <si>
    <r>
      <rPr>
        <b val="true"/>
        <sz val="10"/>
        <color rgb="FFFFFFFF"/>
        <rFont val="Noto Sans CJK SC"/>
        <family val="2"/>
      </rPr>
      <t xml:space="preserve">待办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风险备注</t>
    </r>
  </si>
  <si>
    <t xml:space="preserve">主要用途</t>
  </si>
  <si>
    <t xml:space="preserve">经营时间</t>
  </si>
  <si>
    <t xml:space="preserve">公司注册</t>
  </si>
  <si>
    <t xml:space="preserve">2023-09-01</t>
  </si>
  <si>
    <t xml:space="preserve">公司注册日</t>
  </si>
  <si>
    <t xml:space="preserve">✅</t>
  </si>
  <si>
    <r>
      <rPr>
        <sz val="10"/>
        <color rgb="FF000000"/>
        <rFont val="Noto Sans CJK SC"/>
        <family val="2"/>
      </rPr>
      <t xml:space="preserve">叙事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尽调</t>
    </r>
  </si>
  <si>
    <t xml:space="preserve">清关业务上线</t>
  </si>
  <si>
    <t xml:space="preserve">2025-09-01</t>
  </si>
  <si>
    <t xml:space="preserve">业务实际开展日</t>
  </si>
  <si>
    <r>
      <rPr>
        <sz val="10"/>
        <color rgb="FF000000"/>
        <rFont val="Noto Sans CJK SC"/>
        <family val="2"/>
      </rPr>
      <t xml:space="preserve">关键叙事：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个月做到月千柜</t>
    </r>
  </si>
  <si>
    <r>
      <rPr>
        <sz val="10"/>
        <color rgb="FF000000"/>
        <rFont val="Noto Sans CJK SC"/>
        <family val="2"/>
      </rPr>
      <t xml:space="preserve">叙事</t>
    </r>
    <r>
      <rPr>
        <sz val="10"/>
        <color rgb="FF000000"/>
        <rFont val="Arial"/>
        <family val="0"/>
        <charset val="1"/>
      </rPr>
      <t xml:space="preserve">/BP</t>
    </r>
  </si>
  <si>
    <t xml:space="preserve">客户</t>
  </si>
  <si>
    <t xml:space="preserve">活跃客户数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</si>
  <si>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家</t>
    </r>
  </si>
  <si>
    <t xml:space="preserve">月度有业务的付费客户</t>
  </si>
  <si>
    <t xml:space="preserve">🟡</t>
  </si>
  <si>
    <r>
      <rPr>
        <sz val="10"/>
        <color rgb="FF000000"/>
        <rFont val="Noto Sans CJK SC"/>
        <family val="2"/>
      </rPr>
      <t xml:space="preserve">「活跃」定义需书面化（近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天有单？）</t>
    </r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</si>
  <si>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尽调</t>
    </r>
  </si>
  <si>
    <t xml:space="preserve">客户结构</t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</si>
  <si>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家 </t>
    </r>
    <r>
      <rPr>
        <sz val="10"/>
        <color rgb="FF000000"/>
        <rFont val="Arial"/>
        <family val="0"/>
        <charset val="1"/>
      </rPr>
      <t xml:space="preserve">EPZ </t>
    </r>
    <r>
      <rPr>
        <sz val="10"/>
        <color rgb="FF000000"/>
        <rFont val="Noto Sans CJK SC"/>
        <family val="2"/>
      </rPr>
      <t xml:space="preserve">光伏 </t>
    </r>
    <r>
      <rPr>
        <sz val="10"/>
        <color rgb="FF000000"/>
        <rFont val="Arial"/>
        <family val="0"/>
        <charset val="1"/>
      </rPr>
      <t xml:space="preserve">+ 1 </t>
    </r>
    <r>
      <rPr>
        <sz val="10"/>
        <color rgb="FF000000"/>
        <rFont val="Noto Sans CJK SC"/>
        <family val="2"/>
      </rPr>
      <t xml:space="preserve">建筑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其他</t>
    </r>
  </si>
  <si>
    <r>
      <rPr>
        <sz val="10"/>
        <color rgb="FF000000"/>
        <rFont val="Noto Sans CJK SC"/>
        <family val="2"/>
      </rPr>
      <t xml:space="preserve">按 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柜量份额</t>
    </r>
  </si>
  <si>
    <t xml:space="preserve">BP</t>
  </si>
  <si>
    <t xml:space="preserve">前二集中度</t>
  </si>
  <si>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Greeneye 45% + Coracias 30%</t>
    </r>
    <r>
      <rPr>
        <sz val="10"/>
        <color rgb="FF000000"/>
        <rFont val="Noto Sans CJK SC"/>
        <family val="2"/>
      </rPr>
      <t xml:space="preserve">）</t>
    </r>
  </si>
  <si>
    <t xml:space="preserve">按月柜量份额</t>
  </si>
  <si>
    <r>
      <rPr>
        <sz val="10"/>
        <color rgb="FF000000"/>
        <rFont val="Noto Sans CJK SC"/>
        <family val="2"/>
      </rPr>
      <t xml:space="preserve">高于目标线（单一货主 ≤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），列入风险改进项</t>
    </r>
  </si>
  <si>
    <t xml:space="preserve">风险管理</t>
  </si>
  <si>
    <t xml:space="preserve">复购率</t>
  </si>
  <si>
    <r>
      <rPr>
        <sz val="10"/>
        <color rgb="FF000000"/>
        <rFont val="Noto Sans CJK SC"/>
        <family val="2"/>
      </rPr>
      <t xml:space="preserve">约 </t>
    </r>
    <r>
      <rPr>
        <sz val="10"/>
        <color rgb="FF000000"/>
        <rFont val="Arial"/>
        <family val="0"/>
        <charset val="1"/>
      </rPr>
      <t xml:space="preserve">95%</t>
    </r>
  </si>
  <si>
    <t xml:space="preserve">口径未书面化</t>
  </si>
  <si>
    <t xml:space="preserve">按客户数还是按柜量？统计期？需定义</t>
  </si>
  <si>
    <t xml:space="preserve">客单</t>
  </si>
  <si>
    <t xml:space="preserve">单价区间</t>
  </si>
  <si>
    <r>
      <rPr>
        <sz val="10"/>
        <color rgb="FF000000"/>
        <rFont val="Arial"/>
        <family val="0"/>
        <charset val="1"/>
      </rPr>
      <t xml:space="preserve">$2,100–3,300 /</t>
    </r>
    <r>
      <rPr>
        <sz val="10"/>
        <color rgb="FF000000"/>
        <rFont val="Noto Sans CJK SC"/>
        <family val="2"/>
      </rPr>
      <t xml:space="preserve">柜</t>
    </r>
  </si>
  <si>
    <t xml:space="preserve">分客户报价</t>
  </si>
  <si>
    <r>
      <rPr>
        <sz val="10"/>
        <color rgb="FF000000"/>
        <rFont val="Noto Sans CJK SC"/>
        <family val="2"/>
      </rPr>
      <t xml:space="preserve">🔴关键：是否含代收代垫税费？决定流水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收入拆分</t>
    </r>
  </si>
  <si>
    <t xml:space="preserve">财务模型</t>
  </si>
  <si>
    <t xml:space="preserve">加权客单价</t>
  </si>
  <si>
    <r>
      <rPr>
        <sz val="10"/>
        <color rgb="FF000000"/>
        <rFont val="Arial"/>
        <family val="0"/>
        <charset val="1"/>
      </rPr>
      <t xml:space="preserve">≈$2,357 /</t>
    </r>
    <r>
      <rPr>
        <sz val="10"/>
        <color rgb="FF000000"/>
        <rFont val="Noto Sans CJK SC"/>
        <family val="2"/>
      </rPr>
      <t xml:space="preserve">柜</t>
    </r>
  </si>
  <si>
    <t xml:space="preserve">按客户份额加权（交叉验算）</t>
  </si>
  <si>
    <t xml:space="preserve">上游单价口径厘清后需复算</t>
  </si>
  <si>
    <t xml:space="preserve">业务量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</si>
  <si>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个月累计柜量</t>
    </r>
  </si>
  <si>
    <r>
      <rPr>
        <sz val="10"/>
        <color rgb="FF000000"/>
        <rFont val="Arial"/>
        <family val="0"/>
        <charset val="1"/>
      </rPr>
      <t xml:space="preserve">4,386 </t>
    </r>
    <r>
      <rPr>
        <sz val="10"/>
        <color rgb="FF000000"/>
        <rFont val="Noto Sans CJK SC"/>
        <family val="2"/>
      </rPr>
      <t xml:space="preserve">柜</t>
    </r>
  </si>
  <si>
    <r>
      <rPr>
        <sz val="10"/>
        <color rgb="FF000000"/>
        <rFont val="Arial"/>
        <family val="0"/>
        <charset val="1"/>
      </rPr>
      <t xml:space="preserve">2025-09→2026-08 </t>
    </r>
    <r>
      <rPr>
        <sz val="10"/>
        <color rgb="FF000000"/>
        <rFont val="Noto Sans CJK SC"/>
        <family val="2"/>
      </rPr>
      <t xml:space="preserve">合计</t>
    </r>
  </si>
  <si>
    <t xml:space="preserve">与逐月表勾稽 ✅；待与报关记录核对</t>
  </si>
  <si>
    <t xml:space="preserve">当前月柜量</t>
  </si>
  <si>
    <r>
      <rPr>
        <sz val="10"/>
        <color rgb="FF000000"/>
        <rFont val="Arial"/>
        <family val="0"/>
        <charset val="1"/>
      </rPr>
      <t xml:space="preserve">1,020 </t>
    </r>
    <r>
      <rPr>
        <sz val="10"/>
        <color rgb="FF000000"/>
        <rFont val="Noto Sans CJK SC"/>
        <family val="2"/>
      </rPr>
      <t xml:space="preserve">柜（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）</t>
    </r>
  </si>
  <si>
    <t xml:space="preserve">月度实际</t>
  </si>
  <si>
    <r>
      <rPr>
        <sz val="10"/>
        <color rgb="FF000000"/>
        <rFont val="Noto Sans CJK SC"/>
        <family val="2"/>
      </rPr>
      <t xml:space="preserve">客户份额合计 </t>
    </r>
    <r>
      <rPr>
        <sz val="10"/>
        <color rgb="FF000000"/>
        <rFont val="Arial"/>
        <family val="0"/>
        <charset val="1"/>
      </rPr>
      <t xml:space="preserve">1,070 </t>
    </r>
    <r>
      <rPr>
        <sz val="10"/>
        <color rgb="FF000000"/>
        <rFont val="Noto Sans CJK SC"/>
        <family val="2"/>
      </rPr>
      <t xml:space="preserve">与实际 </t>
    </r>
    <r>
      <rPr>
        <sz val="10"/>
        <color rgb="FF000000"/>
        <rFont val="Arial"/>
        <family val="0"/>
        <charset val="1"/>
      </rPr>
      <t xml:space="preserve">1,020 </t>
    </r>
    <r>
      <rPr>
        <sz val="10"/>
        <color rgb="FF000000"/>
        <rFont val="Noto Sans CJK SC"/>
        <family val="2"/>
      </rPr>
      <t xml:space="preserve">差异 ≈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，属正常波动</t>
    </r>
  </si>
  <si>
    <r>
      <rPr>
        <sz val="10"/>
        <color rgb="FF000000"/>
        <rFont val="Noto Sans CJK SC"/>
        <family val="2"/>
      </rPr>
      <t xml:space="preserve">海运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空运比</t>
    </r>
  </si>
  <si>
    <t xml:space="preserve">≈75% / 25%</t>
  </si>
  <si>
    <t xml:space="preserve">按柜量</t>
  </si>
  <si>
    <t xml:space="preserve">空运「柜」的折算口径需说明</t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</si>
  <si>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产品</t>
    </r>
  </si>
  <si>
    <r>
      <rPr>
        <sz val="10"/>
        <color rgb="FF000000"/>
        <rFont val="Arial"/>
        <family val="0"/>
        <charset val="1"/>
      </rPr>
      <t xml:space="preserve">2026 H1 </t>
    </r>
    <r>
      <rPr>
        <sz val="10"/>
        <color rgb="FF000000"/>
        <rFont val="Noto Sans CJK SC"/>
        <family val="2"/>
      </rPr>
      <t xml:space="preserve">柜量</t>
    </r>
  </si>
  <si>
    <r>
      <rPr>
        <sz val="10"/>
        <color rgb="FF000000"/>
        <rFont val="Arial"/>
        <family val="0"/>
        <charset val="1"/>
      </rPr>
      <t xml:space="preserve">2,156 </t>
    </r>
    <r>
      <rPr>
        <sz val="10"/>
        <color rgb="FF000000"/>
        <rFont val="Noto Sans CJK SC"/>
        <family val="2"/>
      </rPr>
      <t xml:space="preserve">柜</t>
    </r>
  </si>
  <si>
    <r>
      <rPr>
        <sz val="10"/>
        <color rgb="FF000000"/>
        <rFont val="Arial"/>
        <family val="0"/>
        <charset val="1"/>
      </rPr>
      <t xml:space="preserve">1–6 </t>
    </r>
    <r>
      <rPr>
        <sz val="10"/>
        <color rgb="FF000000"/>
        <rFont val="Noto Sans CJK SC"/>
        <family val="2"/>
      </rPr>
      <t xml:space="preserve">月合计</t>
    </r>
  </si>
  <si>
    <r>
      <rPr>
        <sz val="10"/>
        <color rgb="FF000000"/>
        <rFont val="Noto Sans CJK SC"/>
        <family val="2"/>
      </rPr>
      <t xml:space="preserve">用于 </t>
    </r>
    <r>
      <rPr>
        <sz val="10"/>
        <color rgb="FF000000"/>
        <rFont val="Arial"/>
        <family val="0"/>
        <charset val="1"/>
      </rPr>
      <t xml:space="preserve">$60 </t>
    </r>
    <r>
      <rPr>
        <sz val="10"/>
        <color rgb="FF000000"/>
        <rFont val="Noto Sans CJK SC"/>
        <family val="2"/>
      </rPr>
      <t xml:space="preserve">万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净利的自洽验算</t>
    </r>
  </si>
  <si>
    <t xml:space="preserve">财务</t>
  </si>
  <si>
    <t xml:space="preserve">年流水（外部口径）</t>
  </si>
  <si>
    <r>
      <rPr>
        <sz val="10"/>
        <color rgb="FF000000"/>
        <rFont val="Arial"/>
        <family val="0"/>
        <charset val="1"/>
      </rPr>
      <t xml:space="preserve">$800 </t>
    </r>
    <r>
      <rPr>
        <sz val="10"/>
        <color rgb="FF000000"/>
        <rFont val="Noto Sans CJK SC"/>
        <family val="2"/>
      </rPr>
      <t xml:space="preserve">万</t>
    </r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</si>
  <si>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个月累计流水（非收入）</t>
    </r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</si>
  <si>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Noto Sans CJK SC"/>
        <family val="2"/>
      </rPr>
      <t xml:space="preserve">年化 ≈</t>
    </r>
    <r>
      <rPr>
        <sz val="10"/>
        <color rgb="FF000000"/>
        <rFont val="Arial"/>
        <family val="0"/>
        <charset val="1"/>
      </rPr>
      <t xml:space="preserve">$30M </t>
    </r>
    <r>
      <rPr>
        <sz val="10"/>
        <color rgb="FF000000"/>
        <rFont val="Noto Sans CJK SC"/>
        <family val="2"/>
      </rPr>
      <t xml:space="preserve">与累计 ≈</t>
    </r>
    <r>
      <rPr>
        <sz val="10"/>
        <color rgb="FF000000"/>
        <rFont val="Arial"/>
        <family val="0"/>
        <charset val="1"/>
      </rPr>
      <t xml:space="preserve">$10M </t>
    </r>
    <r>
      <rPr>
        <sz val="10"/>
        <color rgb="FF000000"/>
        <rFont val="Noto Sans CJK SC"/>
        <family val="2"/>
      </rPr>
      <t xml:space="preserve">并存：对外必须注明口径</t>
    </r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</si>
  <si>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融资</t>
    </r>
  </si>
  <si>
    <t xml:space="preserve">单柜净贡献</t>
  </si>
  <si>
    <r>
      <rPr>
        <sz val="10"/>
        <color rgb="FF000000"/>
        <rFont val="Arial"/>
        <family val="0"/>
        <charset val="1"/>
      </rPr>
      <t xml:space="preserve">≈$421 /</t>
    </r>
    <r>
      <rPr>
        <sz val="10"/>
        <color rgb="FF000000"/>
        <rFont val="Noto Sans CJK SC"/>
        <family val="2"/>
      </rPr>
      <t xml:space="preserve">柜</t>
    </r>
  </si>
  <si>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推算（毛利−固定费分摊）</t>
    </r>
  </si>
  <si>
    <t xml:space="preserve">待会计师报表验证</t>
  </si>
  <si>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净利</t>
    </r>
  </si>
  <si>
    <r>
      <rPr>
        <sz val="10"/>
        <color rgb="FF000000"/>
        <rFont val="Arial"/>
        <family val="0"/>
        <charset val="1"/>
      </rPr>
      <t xml:space="preserve">≈$60 </t>
    </r>
    <r>
      <rPr>
        <sz val="10"/>
        <color rgb="FF000000"/>
        <rFont val="Noto Sans CJK SC"/>
        <family val="2"/>
      </rPr>
      <t xml:space="preserve">万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</si>
  <si>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上半年，爬坡期</t>
    </r>
  </si>
  <si>
    <r>
      <rPr>
        <sz val="10"/>
        <color rgb="FF000000"/>
        <rFont val="Noto Sans CJK SC"/>
        <family val="2"/>
      </rPr>
      <t xml:space="preserve">🔴需要会计师基线报表（</t>
    </r>
    <r>
      <rPr>
        <sz val="10"/>
        <color rgb="FF000000"/>
        <rFont val="Arial"/>
        <family val="0"/>
        <charset val="1"/>
      </rPr>
      <t xml:space="preserve">8/15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</si>
  <si>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融资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尽调</t>
    </r>
  </si>
  <si>
    <t xml:space="preserve">货值</t>
  </si>
  <si>
    <t xml:space="preserve">单柜货值</t>
  </si>
  <si>
    <r>
      <rPr>
        <sz val="10"/>
        <color rgb="FF000000"/>
        <rFont val="Arial"/>
        <family val="0"/>
        <charset val="1"/>
      </rPr>
      <t xml:space="preserve">$5.5 </t>
    </r>
    <r>
      <rPr>
        <sz val="10"/>
        <color rgb="FF000000"/>
        <rFont val="Noto Sans CJK SC"/>
        <family val="2"/>
      </rPr>
      <t xml:space="preserve">万–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万</t>
    </r>
  </si>
  <si>
    <r>
      <rPr>
        <sz val="10"/>
        <color rgb="FF000000"/>
        <rFont val="Noto Sans CJK SC"/>
        <family val="2"/>
      </rPr>
      <t xml:space="preserve">电池片 </t>
    </r>
    <r>
      <rPr>
        <sz val="10"/>
        <color rgb="FF000000"/>
        <rFont val="Arial"/>
        <family val="0"/>
        <charset val="1"/>
      </rPr>
      <t xml:space="preserve">40ft </t>
    </r>
    <r>
      <rPr>
        <sz val="10"/>
        <color rgb="FF000000"/>
        <rFont val="Noto Sans CJK SC"/>
        <family val="2"/>
      </rPr>
      <t xml:space="preserve">柜 </t>
    </r>
    <r>
      <rPr>
        <sz val="10"/>
        <color rgb="FF000000"/>
        <rFont val="Arial"/>
        <family val="0"/>
        <charset val="1"/>
      </rPr>
      <t xml:space="preserve">$132 </t>
    </r>
    <r>
      <rPr>
        <sz val="10"/>
        <color rgb="FF000000"/>
        <rFont val="Noto Sans CJK SC"/>
        <family val="2"/>
      </rPr>
      <t xml:space="preserve">万最高</t>
    </r>
  </si>
  <si>
    <t xml:space="preserve">支撑责任型定价与保险叙事</t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</si>
  <si>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保险</t>
    </r>
  </si>
  <si>
    <t xml:space="preserve">成本</t>
  </si>
  <si>
    <t xml:space="preserve">干线运费采购价</t>
  </si>
  <si>
    <r>
      <rPr>
        <sz val="10"/>
        <color rgb="FF000000"/>
        <rFont val="Arial"/>
        <family val="0"/>
        <charset val="1"/>
      </rPr>
      <t xml:space="preserve">Mombasa→Konza $1,250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</si>
  <si>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Noto Sans CJK SC"/>
        <family val="2"/>
      </rPr>
      <t xml:space="preserve">按目的地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车型</t>
    </r>
  </si>
  <si>
    <t xml:space="preserve">有效期与油价联动机制未记录</t>
  </si>
  <si>
    <t xml:space="preserve">定价</t>
  </si>
  <si>
    <t xml:space="preserve">重卡油耗</t>
  </si>
  <si>
    <r>
      <rPr>
        <sz val="10"/>
        <color rgb="FF000000"/>
        <rFont val="Arial"/>
        <family val="0"/>
        <charset val="1"/>
      </rPr>
      <t xml:space="preserve">110 KES/km</t>
    </r>
    <r>
      <rPr>
        <sz val="10"/>
        <color rgb="FF000000"/>
        <rFont val="Noto Sans CJK SC"/>
        <family val="2"/>
      </rPr>
      <t xml:space="preserve">（重去空回）</t>
    </r>
  </si>
  <si>
    <t xml:space="preserve">线路实测</t>
  </si>
  <si>
    <r>
      <rPr>
        <sz val="10"/>
        <color rgb="FF000000"/>
        <rFont val="Noto Sans CJK SC"/>
        <family val="2"/>
      </rPr>
      <t xml:space="preserve">样本量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线路未记录</t>
    </r>
  </si>
  <si>
    <t xml:space="preserve">单位经济</t>
  </si>
  <si>
    <t xml:space="preserve">运力</t>
  </si>
  <si>
    <t xml:space="preserve">合作车队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</si>
  <si>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家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可调度 </t>
    </r>
    <r>
      <rPr>
        <sz val="10"/>
        <color rgb="FF000000"/>
        <rFont val="Arial"/>
        <family val="0"/>
        <charset val="1"/>
      </rPr>
      <t xml:space="preserve">585+ </t>
    </r>
    <r>
      <rPr>
        <sz val="10"/>
        <color rgb="FF000000"/>
        <rFont val="Noto Sans CJK SC"/>
        <family val="2"/>
      </rPr>
      <t xml:space="preserve">辆</t>
    </r>
  </si>
  <si>
    <t xml:space="preserve">车队自报</t>
  </si>
  <si>
    <r>
      <rPr>
        <sz val="10"/>
        <color rgb="FF000000"/>
        <rFont val="Noto Sans CJK SC"/>
        <family val="2"/>
      </rPr>
      <t xml:space="preserve">「可调度」需按线路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时段验证真实可用车</t>
    </r>
  </si>
  <si>
    <t xml:space="preserve">平台化</t>
  </si>
  <si>
    <t xml:space="preserve">车队账期</t>
  </si>
  <si>
    <r>
      <rPr>
        <sz val="10"/>
        <color rgb="FF000000"/>
        <rFont val="Arial"/>
        <family val="0"/>
        <charset val="1"/>
      </rPr>
      <t xml:space="preserve">14–45 </t>
    </r>
    <r>
      <rPr>
        <sz val="10"/>
        <color rgb="FF000000"/>
        <rFont val="Noto Sans CJK SC"/>
        <family val="2"/>
      </rPr>
      <t xml:space="preserve">天</t>
    </r>
  </si>
  <si>
    <t xml:space="preserve">分车队</t>
  </si>
  <si>
    <t xml:space="preserve">是营运资金模型关键输入</t>
  </si>
  <si>
    <t xml:space="preserve">履约</t>
  </si>
  <si>
    <t xml:space="preserve">单程运输时长</t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</si>
  <si>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小时</t>
    </r>
  </si>
  <si>
    <r>
      <rPr>
        <sz val="10"/>
        <color rgb="FF000000"/>
        <rFont val="Arial"/>
        <family val="0"/>
        <charset val="1"/>
      </rPr>
      <t xml:space="preserve">Mombasa→Nairobi </t>
    </r>
    <r>
      <rPr>
        <sz val="10"/>
        <color rgb="FF000000"/>
        <rFont val="Noto Sans CJK SC"/>
        <family val="2"/>
      </rPr>
      <t xml:space="preserve">干线</t>
    </r>
  </si>
  <si>
    <r>
      <rPr>
        <sz val="10"/>
        <color rgb="FF000000"/>
        <rFont val="Noto Sans CJK SC"/>
        <family val="2"/>
      </rPr>
      <t xml:space="preserve">分布（</t>
    </r>
    <r>
      <rPr>
        <sz val="10"/>
        <color rgb="FF000000"/>
        <rFont val="Arial"/>
        <family val="0"/>
        <charset val="1"/>
      </rPr>
      <t xml:space="preserve">P50/P90</t>
    </r>
    <r>
      <rPr>
        <sz val="10"/>
        <color rgb="FF000000"/>
        <rFont val="Noto Sans CJK SC"/>
        <family val="2"/>
      </rPr>
      <t xml:space="preserve">）未记录</t>
    </r>
  </si>
  <si>
    <r>
      <rPr>
        <sz val="10"/>
        <color rgb="FF000000"/>
        <rFont val="Noto Sans CJK SC"/>
        <family val="2"/>
      </rPr>
      <t xml:space="preserve">产品</t>
    </r>
    <r>
      <rPr>
        <sz val="10"/>
        <color rgb="FF000000"/>
        <rFont val="Arial"/>
        <family val="0"/>
        <charset val="1"/>
      </rPr>
      <t xml:space="preserve">/SLA</t>
    </r>
  </si>
  <si>
    <t xml:space="preserve">回程配载率</t>
  </si>
  <si>
    <r>
      <rPr>
        <sz val="10"/>
        <color rgb="FF000000"/>
        <rFont val="Noto Sans CJK SC"/>
        <family val="2"/>
      </rPr>
      <t xml:space="preserve">仅 </t>
    </r>
    <r>
      <rPr>
        <sz val="10"/>
        <color rgb="FF000000"/>
        <rFont val="Arial"/>
        <family val="0"/>
        <charset val="1"/>
      </rPr>
      <t xml:space="preserve">5%</t>
    </r>
  </si>
  <si>
    <t xml:space="preserve">当前实际</t>
  </si>
  <si>
    <t xml:space="preserve">测量方法未书面化；是平台化最大提升空间</t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</si>
  <si>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平台化</t>
    </r>
  </si>
  <si>
    <t xml:space="preserve">案例</t>
  </si>
  <si>
    <t xml:space="preserve">滞港解决案例</t>
  </si>
  <si>
    <r>
      <rPr>
        <sz val="10"/>
        <color rgb="FF000000"/>
        <rFont val="Noto Sans CJK SC"/>
        <family val="2"/>
      </rPr>
      <t xml:space="preserve">一周解决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柜（他代理滞留 </t>
    </r>
    <r>
      <rPr>
        <sz val="10"/>
        <color rgb="FF000000"/>
        <rFont val="Arial"/>
        <family val="0"/>
        <charset val="1"/>
      </rPr>
      <t xml:space="preserve">4–6 </t>
    </r>
    <r>
      <rPr>
        <sz val="10"/>
        <color rgb="FF000000"/>
        <rFont val="Noto Sans CJK SC"/>
        <family val="2"/>
      </rPr>
      <t xml:space="preserve">个月）</t>
    </r>
  </si>
  <si>
    <t xml:space="preserve">客户可证实</t>
  </si>
  <si>
    <r>
      <rPr>
        <sz val="10"/>
        <color rgb="FF000000"/>
        <rFont val="Noto Sans CJK SC"/>
        <family val="2"/>
      </rPr>
      <t xml:space="preserve">🔴需客户书面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邮件证据，才能进 </t>
    </r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引用</t>
    </r>
  </si>
  <si>
    <r>
      <rPr>
        <sz val="10"/>
        <color rgb="FF000000"/>
        <rFont val="Arial"/>
        <family val="0"/>
        <charset val="1"/>
      </rPr>
      <t xml:space="preserve">BP/</t>
    </r>
    <r>
      <rPr>
        <sz val="10"/>
        <color rgb="FF000000"/>
        <rFont val="Noto Sans CJK SC"/>
        <family val="2"/>
      </rPr>
      <t xml:space="preserve">信任</t>
    </r>
  </si>
  <si>
    <t xml:space="preserve">地位</t>
  </si>
  <si>
    <t xml:space="preserve">「肯尼亚最大清关公司」</t>
  </si>
  <si>
    <t xml:space="preserve">无可引用依据</t>
  </si>
  <si>
    <t xml:space="preserve">——</t>
  </si>
  <si>
    <t xml:space="preserve">🔴</t>
  </si>
  <si>
    <r>
      <rPr>
        <sz val="10"/>
        <color rgb="FF000000"/>
        <rFont val="Noto Sans CJK SC"/>
        <family val="2"/>
      </rPr>
      <t xml:space="preserve">需 </t>
    </r>
    <r>
      <rPr>
        <sz val="10"/>
        <color rgb="FF000000"/>
        <rFont val="Arial"/>
        <family val="0"/>
        <charset val="1"/>
      </rPr>
      <t xml:space="preserve">KRA </t>
    </r>
    <r>
      <rPr>
        <sz val="10"/>
        <color rgb="FF000000"/>
        <rFont val="Noto Sans CJK SC"/>
        <family val="2"/>
      </rPr>
      <t xml:space="preserve">数据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协会排名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清关单量份额三选一</t>
    </r>
  </si>
  <si>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红线</t>
    </r>
  </si>
  <si>
    <t xml:space="preserve">异常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</si>
  <si>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柜量回落</t>
    </r>
  </si>
  <si>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柜（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）</t>
    </r>
  </si>
  <si>
    <t xml:space="preserve">疑似春节季节性</t>
  </si>
  <si>
    <t xml:space="preserve">原因需标注，否则增长曲线被质疑</t>
  </si>
  <si>
    <t xml:space="preserve">尽调</t>
  </si>
  <si>
    <t xml:space="preserve">口径</t>
  </si>
  <si>
    <r>
      <rPr>
        <sz val="10"/>
        <color rgb="FF000000"/>
        <rFont val="Noto Sans CJK SC"/>
        <family val="2"/>
      </rPr>
      <t xml:space="preserve">票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柜对应关系</t>
    </r>
  </si>
  <si>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票 </t>
    </r>
    <r>
      <rPr>
        <sz val="10"/>
        <color rgb="FF000000"/>
        <rFont val="Arial"/>
        <family val="0"/>
        <charset val="1"/>
      </rPr>
      <t xml:space="preserve">vs 1,020 </t>
    </r>
    <r>
      <rPr>
        <sz val="10"/>
        <color rgb="FF000000"/>
        <rFont val="Noto Sans CJK SC"/>
        <family val="2"/>
      </rPr>
      <t xml:space="preserve">柜（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月）</t>
    </r>
  </si>
  <si>
    <t xml:space="preserve">一票多柜</t>
  </si>
  <si>
    <t xml:space="preserve">对应规则需书面化</t>
  </si>
  <si>
    <t xml:space="preserve">数据字典</t>
  </si>
  <si>
    <t xml:space="preserve">模块</t>
  </si>
  <si>
    <r>
      <rPr>
        <b val="true"/>
        <sz val="10"/>
        <color rgb="FFFFFFFF"/>
        <rFont val="Noto Sans CJK SC"/>
        <family val="2"/>
      </rPr>
      <t xml:space="preserve">需要补齐的数据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材料</t>
    </r>
  </si>
  <si>
    <t xml:space="preserve">为什么需要（用在哪）</t>
  </si>
  <si>
    <t xml:space="preserve">优先级</t>
  </si>
  <si>
    <t xml:space="preserve">责任人</t>
  </si>
  <si>
    <t xml:space="preserve">时点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</si>
  <si>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财务与口径</t>
    </r>
  </si>
  <si>
    <r>
      <rPr>
        <sz val="10"/>
        <color rgb="FF000000"/>
        <rFont val="Noto Sans CJK SC"/>
        <family val="2"/>
      </rPr>
      <t xml:space="preserve">分月管理报表：收入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成本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毛利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净利（会计口径，区分代收代垫）</t>
    </r>
  </si>
  <si>
    <r>
      <rPr>
        <sz val="10"/>
        <color rgb="FF000000"/>
        <rFont val="Noto Sans CJK SC"/>
        <family val="2"/>
      </rPr>
      <t xml:space="preserve">融资尽调基线；把「流水 </t>
    </r>
    <r>
      <rPr>
        <sz val="10"/>
        <color rgb="FF000000"/>
        <rFont val="Arial"/>
        <family val="0"/>
        <charset val="1"/>
      </rPr>
      <t xml:space="preserve">$800 </t>
    </r>
    <r>
      <rPr>
        <sz val="10"/>
        <color rgb="FF000000"/>
        <rFont val="Noto Sans CJK SC"/>
        <family val="2"/>
      </rPr>
      <t xml:space="preserve">万」翻译成可审计的收入表</t>
    </r>
  </si>
  <si>
    <t xml:space="preserve">P0</t>
  </si>
  <si>
    <r>
      <rPr>
        <sz val="10"/>
        <color rgb="FF000000"/>
        <rFont val="Noto Sans CJK SC"/>
        <family val="2"/>
      </rPr>
      <t xml:space="preserve">程志斌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陈德雷</t>
    </r>
  </si>
  <si>
    <r>
      <rPr>
        <sz val="10"/>
        <color rgb="FF000000"/>
        <rFont val="Arial"/>
        <family val="0"/>
        <charset val="1"/>
      </rPr>
      <t xml:space="preserve">8/15 </t>
    </r>
    <r>
      <rPr>
        <sz val="10"/>
        <color rgb="FF000000"/>
        <rFont val="Noto Sans CJK SC"/>
        <family val="2"/>
      </rPr>
      <t xml:space="preserve">现场</t>
    </r>
  </si>
  <si>
    <t xml:space="preserve">🔴 待补</t>
  </si>
  <si>
    <r>
      <rPr>
        <sz val="10"/>
        <color rgb="FF000000"/>
        <rFont val="Noto Sans CJK SC"/>
        <family val="2"/>
      </rPr>
      <t xml:space="preserve">客单价构成拆解：清关服务费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运输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代缴税费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代垫</t>
    </r>
  </si>
  <si>
    <r>
      <rPr>
        <sz val="10"/>
        <color rgb="FF000000"/>
        <rFont val="Noto Sans CJK SC"/>
        <family val="2"/>
      </rPr>
      <t xml:space="preserve">决定收入确认口径（</t>
    </r>
    <r>
      <rPr>
        <sz val="10"/>
        <color rgb="FF000000"/>
        <rFont val="Arial"/>
        <family val="0"/>
        <charset val="1"/>
      </rPr>
      <t xml:space="preserve">principal vs agent</t>
    </r>
    <r>
      <rPr>
        <sz val="10"/>
        <color rgb="FF000000"/>
        <rFont val="Noto Sans CJK SC"/>
        <family val="2"/>
      </rPr>
      <t xml:space="preserve">），直接影响估值叙事</t>
    </r>
  </si>
  <si>
    <t xml:space="preserve">陈德雷</t>
  </si>
  <si>
    <t xml:space="preserve">本周</t>
  </si>
  <si>
    <r>
      <rPr>
        <sz val="10"/>
        <color rgb="FF000000"/>
        <rFont val="Noto Sans CJK SC"/>
        <family val="2"/>
      </rPr>
      <t xml:space="preserve">应收账龄表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客户账期条款；应付（车队）账期实际执行</t>
    </r>
  </si>
  <si>
    <r>
      <rPr>
        <sz val="10"/>
        <color rgb="FF000000"/>
        <rFont val="Noto Sans CJK SC"/>
        <family val="2"/>
      </rPr>
      <t xml:space="preserve">营运资金缺口测算：</t>
    </r>
    <r>
      <rPr>
        <sz val="10"/>
        <color rgb="FF000000"/>
        <rFont val="Arial"/>
        <family val="0"/>
        <charset val="1"/>
      </rPr>
      <t xml:space="preserve">DSO−DPO </t>
    </r>
    <r>
      <rPr>
        <sz val="10"/>
        <color rgb="FF000000"/>
        <rFont val="Noto Sans CJK SC"/>
        <family val="2"/>
      </rPr>
      <t xml:space="preserve">决定 </t>
    </r>
    <r>
      <rPr>
        <sz val="10"/>
        <color rgb="FF000000"/>
        <rFont val="Arial"/>
        <family val="0"/>
        <charset val="1"/>
      </rPr>
      <t xml:space="preserve">$300–500 </t>
    </r>
    <r>
      <rPr>
        <sz val="10"/>
        <color rgb="FF000000"/>
        <rFont val="Noto Sans CJK SC"/>
        <family val="2"/>
      </rPr>
      <t xml:space="preserve">万营运资金轨道的规模依据</t>
    </r>
  </si>
  <si>
    <t xml:space="preserve">程志斌</t>
  </si>
  <si>
    <r>
      <rPr>
        <sz val="10"/>
        <color rgb="FF000000"/>
        <rFont val="Noto Sans CJK SC"/>
        <family val="2"/>
      </rPr>
      <t xml:space="preserve">现金流水单（银行</t>
    </r>
    <r>
      <rPr>
        <sz val="10"/>
        <color rgb="FF000000"/>
        <rFont val="Arial"/>
        <family val="0"/>
        <charset val="1"/>
      </rPr>
      <t xml:space="preserve">/M-PESA </t>
    </r>
    <r>
      <rPr>
        <sz val="10"/>
        <color rgb="FF000000"/>
        <rFont val="Noto Sans CJK SC"/>
        <family val="2"/>
      </rPr>
      <t xml:space="preserve">对账）与利润勾稽</t>
    </r>
  </si>
  <si>
    <r>
      <rPr>
        <sz val="10"/>
        <color rgb="FF000000"/>
        <rFont val="Noto Sans CJK SC"/>
        <family val="2"/>
      </rPr>
      <t xml:space="preserve">投资人必查；也验证 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净利 </t>
    </r>
    <r>
      <rPr>
        <sz val="10"/>
        <color rgb="FF000000"/>
        <rFont val="Arial"/>
        <family val="0"/>
        <charset val="1"/>
      </rPr>
      <t xml:space="preserve">$60 </t>
    </r>
    <r>
      <rPr>
        <sz val="10"/>
        <color rgb="FF000000"/>
        <rFont val="Noto Sans CJK SC"/>
        <family val="2"/>
      </rPr>
      <t xml:space="preserve">万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</si>
  <si>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客户质量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</si>
  <si>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大客户清单：合同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单票委托、账期、定价机制、续约记录</t>
    </r>
  </si>
  <si>
    <r>
      <rPr>
        <sz val="10"/>
        <color rgb="FF000000"/>
        <rFont val="Noto Sans CJK SC"/>
        <family val="2"/>
      </rPr>
      <t xml:space="preserve">客户质量与集中度风险的证据链；</t>
    </r>
    <r>
      <rPr>
        <sz val="10"/>
        <color rgb="FF000000"/>
        <rFont val="Arial"/>
        <family val="0"/>
        <charset val="1"/>
      </rPr>
      <t xml:space="preserve">BP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95% </t>
    </r>
    <r>
      <rPr>
        <sz val="10"/>
        <color rgb="FF000000"/>
        <rFont val="Noto Sans CJK SC"/>
        <family val="2"/>
      </rPr>
      <t xml:space="preserve">复购」的底稿</t>
    </r>
  </si>
  <si>
    <r>
      <rPr>
        <sz val="10"/>
        <color rgb="FF000000"/>
        <rFont val="Noto Sans CJK SC"/>
        <family val="2"/>
      </rPr>
      <t xml:space="preserve">客户访谈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家（为什么选 </t>
    </r>
    <r>
      <rPr>
        <sz val="10"/>
        <color rgb="FF000000"/>
        <rFont val="Arial"/>
        <family val="0"/>
        <charset val="1"/>
      </rPr>
      <t xml:space="preserve">Sigma</t>
    </r>
    <r>
      <rPr>
        <sz val="10"/>
        <color rgb="FF000000"/>
        <rFont val="Noto Sans CJK SC"/>
        <family val="2"/>
      </rPr>
      <t xml:space="preserve">、最痛的环节、愿不愿上线上平台）</t>
    </r>
  </si>
  <si>
    <r>
      <rPr>
        <sz val="10"/>
        <color rgb="FF000000"/>
        <rFont val="Noto Sans CJK SC"/>
        <family val="2"/>
      </rPr>
      <t xml:space="preserve">平台冷启动的种子客户验证；</t>
    </r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信任叙事</t>
    </r>
  </si>
  <si>
    <t xml:space="preserve">P1</t>
  </si>
  <si>
    <t xml:space="preserve">陈小强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</si>
  <si>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月内</t>
    </r>
  </si>
  <si>
    <r>
      <rPr>
        <sz val="10"/>
        <color rgb="FF000000"/>
        <rFont val="Noto Sans CJK SC"/>
        <family val="2"/>
      </rPr>
      <t xml:space="preserve">新客户 </t>
    </r>
    <r>
      <rPr>
        <sz val="10"/>
        <color rgb="FF000000"/>
        <rFont val="Arial"/>
        <family val="0"/>
        <charset val="1"/>
      </rPr>
      <t xml:space="preserve">pipeline </t>
    </r>
    <r>
      <rPr>
        <sz val="10"/>
        <color rgb="FF000000"/>
        <rFont val="Noto Sans CJK SC"/>
        <family val="2"/>
      </rPr>
      <t xml:space="preserve">与放弃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流失客户名单及原因</t>
    </r>
  </si>
  <si>
    <t xml:space="preserve">增长可持续性；集中度改善计划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</si>
  <si>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清关履约</t>
    </r>
  </si>
  <si>
    <r>
      <rPr>
        <sz val="10"/>
        <color rgb="FF000000"/>
        <rFont val="Noto Sans CJK SC"/>
        <family val="2"/>
      </rPr>
      <t xml:space="preserve">卡点清单：环节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频次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平均延误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（非正式）成本</t>
    </r>
  </si>
  <si>
    <r>
      <rPr>
        <sz val="10"/>
        <color rgb="FF000000"/>
        <rFont val="Noto Sans CJK SC"/>
        <family val="2"/>
      </rPr>
      <t xml:space="preserve">平台产品的核心数据资产；也是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数字员工的第一批 </t>
    </r>
    <r>
      <rPr>
        <sz val="10"/>
        <color rgb="FF000000"/>
        <rFont val="Arial"/>
        <family val="0"/>
        <charset val="1"/>
      </rPr>
      <t xml:space="preserve">SOP</t>
    </r>
  </si>
  <si>
    <r>
      <rPr>
        <sz val="10"/>
        <color rgb="FF000000"/>
        <rFont val="Noto Sans CJK SC"/>
        <family val="2"/>
      </rPr>
      <t xml:space="preserve">清关时效分布：申报→放行 </t>
    </r>
    <r>
      <rPr>
        <sz val="10"/>
        <color rgb="FF000000"/>
        <rFont val="Arial"/>
        <family val="0"/>
        <charset val="1"/>
      </rPr>
      <t xml:space="preserve">P50/P90</t>
    </r>
    <r>
      <rPr>
        <sz val="10"/>
        <color rgb="FF000000"/>
        <rFont val="Noto Sans CJK SC"/>
        <family val="2"/>
      </rPr>
      <t xml:space="preserve">（分海运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空运</t>
    </r>
    <r>
      <rPr>
        <sz val="10"/>
        <color rgb="FF000000"/>
        <rFont val="Arial"/>
        <family val="0"/>
        <charset val="1"/>
      </rPr>
      <t xml:space="preserve">/EPZ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</si>
  <si>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SLA </t>
    </r>
    <r>
      <rPr>
        <sz val="10"/>
        <color rgb="FF000000"/>
        <rFont val="Noto Sans CJK SC"/>
        <family val="2"/>
      </rPr>
      <t xml:space="preserve">定价与「确定性」叙事的量化底座</t>
    </r>
  </si>
  <si>
    <r>
      <rPr>
        <sz val="10"/>
        <color rgb="FF000000"/>
        <rFont val="Arial"/>
        <family val="0"/>
        <charset val="1"/>
      </rPr>
      <t xml:space="preserve">KRA 8/3 </t>
    </r>
    <r>
      <rPr>
        <sz val="10"/>
        <color rgb="FF000000"/>
        <rFont val="Noto Sans CJK SC"/>
        <family val="2"/>
      </rPr>
      <t xml:space="preserve">上线的进口预申报（</t>
    </r>
    <r>
      <rPr>
        <sz val="10"/>
        <color rgb="FF000000"/>
        <rFont val="Arial"/>
        <family val="0"/>
        <charset val="1"/>
      </rPr>
      <t xml:space="preserve">advance cargo declaration</t>
    </r>
    <r>
      <rPr>
        <sz val="10"/>
        <color rgb="FF000000"/>
        <rFont val="Noto Sans CJK SC"/>
        <family val="2"/>
      </rPr>
      <t xml:space="preserve">）新规影响评估</t>
    </r>
  </si>
  <si>
    <r>
      <rPr>
        <sz val="10"/>
        <color rgb="FF000000"/>
        <rFont val="Noto Sans CJK SC"/>
        <family val="2"/>
      </rPr>
      <t xml:space="preserve">新规刚生效——对清关流程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时效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数据接口的影响，可能是平台切入点</t>
    </r>
  </si>
  <si>
    <r>
      <rPr>
        <sz val="10"/>
        <color rgb="FF000000"/>
        <rFont val="Noto Sans CJK SC"/>
        <family val="2"/>
      </rPr>
      <t xml:space="preserve">滞港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柜案例的书面证据（客户函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邮件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放行记录）</t>
    </r>
  </si>
  <si>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引用需可背书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</si>
  <si>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柜量回落原因标注</t>
    </r>
  </si>
  <si>
    <t xml:space="preserve">消除增长曲线质疑</t>
  </si>
  <si>
    <t xml:space="preserve">P2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</si>
  <si>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运力与线路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</si>
  <si>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家车队：合同、实际月调用车次、拒单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取消率、结算记录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</si>
  <si>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585+ </t>
    </r>
    <r>
      <rPr>
        <sz val="10"/>
        <color rgb="FF000000"/>
        <rFont val="Noto Sans CJK SC"/>
        <family val="2"/>
      </rPr>
      <t xml:space="preserve">可调度」按线路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时段验证真实可用车；平台运力池底稿</t>
    </r>
  </si>
  <si>
    <r>
      <rPr>
        <sz val="10"/>
        <color rgb="FF000000"/>
        <rFont val="Noto Sans CJK SC"/>
        <family val="2"/>
      </rPr>
      <t xml:space="preserve">回程配载 </t>
    </r>
    <r>
      <rPr>
        <sz val="10"/>
        <color rgb="FF000000"/>
        <rFont val="Arial"/>
        <family val="0"/>
        <charset val="1"/>
      </rPr>
      <t xml:space="preserve">5% </t>
    </r>
    <r>
      <rPr>
        <sz val="10"/>
        <color rgb="FF000000"/>
        <rFont val="Noto Sans CJK SC"/>
        <family val="2"/>
      </rPr>
      <t xml:space="preserve">的测量方法与样本；回程货源类型</t>
    </r>
  </si>
  <si>
    <t xml:space="preserve">平台化最大提升空间的基线数据</t>
  </si>
  <si>
    <r>
      <rPr>
        <sz val="10"/>
        <color rgb="FF000000"/>
        <rFont val="Noto Sans CJK SC"/>
        <family val="2"/>
      </rPr>
      <t xml:space="preserve">车辆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司机文件合规抽查（保险、许可、检验）</t>
    </r>
  </si>
  <si>
    <t xml:space="preserve">平台派单前置校验的现状基线；合规风险排查</t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</si>
  <si>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资质与合规</t>
    </r>
  </si>
  <si>
    <r>
      <rPr>
        <sz val="10"/>
        <color rgb="FF000000"/>
        <rFont val="Arial"/>
        <family val="0"/>
        <charset val="1"/>
      </rPr>
      <t xml:space="preserve">Sigma </t>
    </r>
    <r>
      <rPr>
        <sz val="10"/>
        <color rgb="FF000000"/>
        <rFont val="Noto Sans CJK SC"/>
        <family val="2"/>
      </rPr>
      <t xml:space="preserve">清关资质：</t>
    </r>
    <r>
      <rPr>
        <sz val="10"/>
        <color rgb="FF000000"/>
        <rFont val="Arial"/>
        <family val="0"/>
        <charset val="1"/>
      </rPr>
      <t xml:space="preserve">KRA </t>
    </r>
    <r>
      <rPr>
        <sz val="10"/>
        <color rgb="FF000000"/>
        <rFont val="Noto Sans CJK SC"/>
        <family val="2"/>
      </rPr>
      <t xml:space="preserve">持牌报关行执照、</t>
    </r>
    <r>
      <rPr>
        <sz val="10"/>
        <color rgb="FF000000"/>
        <rFont val="Arial"/>
        <family val="0"/>
        <charset val="1"/>
      </rPr>
      <t xml:space="preserve">EPZ </t>
    </r>
    <r>
      <rPr>
        <sz val="10"/>
        <color rgb="FF000000"/>
        <rFont val="Noto Sans CJK SC"/>
        <family val="2"/>
      </rPr>
      <t xml:space="preserve">相关许可、经营许可清单</t>
    </r>
  </si>
  <si>
    <r>
      <rPr>
        <sz val="10"/>
        <color rgb="FF000000"/>
        <rFont val="Noto Sans CJK SC"/>
        <family val="2"/>
      </rPr>
      <t xml:space="preserve">尽调必查；「持牌」是 </t>
    </r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合规叙事的底座</t>
    </r>
  </si>
  <si>
    <r>
      <rPr>
        <sz val="10"/>
        <color rgb="FF000000"/>
        <rFont val="Noto Sans CJK SC"/>
        <family val="2"/>
      </rPr>
      <t xml:space="preserve">「肯尼亚最大清关公司」可引用依据（</t>
    </r>
    <r>
      <rPr>
        <sz val="10"/>
        <color rgb="FF000000"/>
        <rFont val="Arial"/>
        <family val="0"/>
        <charset val="1"/>
      </rPr>
      <t xml:space="preserve">KRA </t>
    </r>
    <r>
      <rPr>
        <sz val="10"/>
        <color rgb="FF000000"/>
        <rFont val="Noto Sans CJK SC"/>
        <family val="2"/>
      </rPr>
      <t xml:space="preserve">单量份额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协会排名）</t>
    </r>
  </si>
  <si>
    <r>
      <rPr>
        <sz val="10"/>
        <color rgb="FF000000"/>
        <rFont val="Arial"/>
        <family val="0"/>
        <charset val="1"/>
      </rPr>
      <t xml:space="preserve">BP </t>
    </r>
    <r>
      <rPr>
        <sz val="10"/>
        <color rgb="FF000000"/>
        <rFont val="Noto Sans CJK SC"/>
        <family val="2"/>
      </rPr>
      <t xml:space="preserve">红线：拿不到就改口径为「头部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领先」</t>
    </r>
  </si>
  <si>
    <r>
      <rPr>
        <sz val="10"/>
        <color rgb="FF000000"/>
        <rFont val="Noto Sans CJK SC"/>
        <family val="2"/>
      </rPr>
      <t xml:space="preserve">税务合规状态：</t>
    </r>
    <r>
      <rPr>
        <sz val="10"/>
        <color rgb="FF000000"/>
        <rFont val="Arial"/>
        <family val="0"/>
        <charset val="1"/>
      </rPr>
      <t xml:space="preserve">eTIMS </t>
    </r>
    <r>
      <rPr>
        <sz val="10"/>
        <color rgb="FF000000"/>
        <rFont val="Noto Sans CJK SC"/>
        <family val="2"/>
      </rPr>
      <t xml:space="preserve">开票、</t>
    </r>
    <r>
      <rPr>
        <sz val="10"/>
        <color rgb="FF000000"/>
        <rFont val="Arial"/>
        <family val="0"/>
        <charset val="1"/>
      </rPr>
      <t xml:space="preserve">VAT </t>
    </r>
    <r>
      <rPr>
        <sz val="10"/>
        <color rgb="FF000000"/>
        <rFont val="Noto Sans CJK SC"/>
        <family val="2"/>
      </rPr>
      <t xml:space="preserve">申报、代缴税费的会计处理</t>
    </r>
  </si>
  <si>
    <r>
      <rPr>
        <sz val="10"/>
        <color rgb="FF000000"/>
        <rFont val="Arial"/>
        <family val="0"/>
        <charset val="1"/>
      </rPr>
      <t xml:space="preserve">Sendy </t>
    </r>
    <r>
      <rPr>
        <sz val="10"/>
        <color rgb="FF000000"/>
        <rFont val="Noto Sans CJK SC"/>
        <family val="2"/>
      </rPr>
      <t xml:space="preserve">税案教训：</t>
    </r>
    <r>
      <rPr>
        <sz val="10"/>
        <color rgb="FF000000"/>
        <rFont val="Arial"/>
        <family val="0"/>
        <charset val="1"/>
      </rPr>
      <t xml:space="preserve">principal </t>
    </r>
    <r>
      <rPr>
        <sz val="10"/>
        <color rgb="FF000000"/>
        <rFont val="Noto Sans CJK SC"/>
        <family val="2"/>
      </rPr>
      <t xml:space="preserve">身份的 </t>
    </r>
    <r>
      <rPr>
        <sz val="10"/>
        <color rgb="FF000000"/>
        <rFont val="Arial"/>
        <family val="0"/>
        <charset val="1"/>
      </rPr>
      <t xml:space="preserve">VAT </t>
    </r>
    <r>
      <rPr>
        <sz val="10"/>
        <color rgb="FF000000"/>
        <rFont val="Noto Sans CJK SC"/>
        <family val="2"/>
      </rPr>
      <t xml:space="preserve">风险要提前排</t>
    </r>
  </si>
  <si>
    <r>
      <rPr>
        <sz val="10"/>
        <color rgb="FF000000"/>
        <rFont val="Noto Sans CJK SC"/>
        <family val="2"/>
      </rPr>
      <t xml:space="preserve">货物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责任保险安排现状与理赔记录</t>
    </r>
  </si>
  <si>
    <r>
      <rPr>
        <sz val="10"/>
        <color rgb="FF000000"/>
        <rFont val="Noto Sans CJK SC"/>
        <family val="2"/>
      </rPr>
      <t xml:space="preserve">责任型 </t>
    </r>
    <r>
      <rPr>
        <sz val="10"/>
        <color rgb="FF000000"/>
        <rFont val="Arial"/>
        <family val="0"/>
        <charset val="1"/>
      </rPr>
      <t xml:space="preserve">3PL </t>
    </r>
    <r>
      <rPr>
        <sz val="10"/>
        <color rgb="FF000000"/>
        <rFont val="Noto Sans CJK SC"/>
        <family val="2"/>
      </rPr>
      <t xml:space="preserve">定价与保险模型输入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</si>
  <si>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团队与系统</t>
    </r>
  </si>
  <si>
    <r>
      <rPr>
        <sz val="10"/>
        <color rgb="FF000000"/>
        <rFont val="Arial"/>
        <family val="0"/>
        <charset val="1"/>
      </rPr>
      <t xml:space="preserve">Sigma </t>
    </r>
    <r>
      <rPr>
        <sz val="10"/>
        <color rgb="FF000000"/>
        <rFont val="Noto Sans CJK SC"/>
        <family val="2"/>
      </rPr>
      <t xml:space="preserve">人员结构：岗位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人数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人均处理柜量</t>
    </r>
  </si>
  <si>
    <r>
      <rPr>
        <sz val="10"/>
        <color rgb="FF000000"/>
        <rFont val="Noto Sans CJK SC"/>
        <family val="2"/>
      </rPr>
      <t xml:space="preserve">人效基线 →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数字员工的提效目标值</t>
    </r>
  </si>
  <si>
    <r>
      <rPr>
        <sz val="10"/>
        <color rgb="FF000000"/>
        <rFont val="Noto Sans CJK SC"/>
        <family val="2"/>
      </rPr>
      <t xml:space="preserve">现有系统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表格盘点：数据留存在哪、什么格式、能否导出</t>
    </r>
  </si>
  <si>
    <r>
      <rPr>
        <sz val="10"/>
        <color rgb="FF000000"/>
        <rFont val="Arial"/>
        <family val="0"/>
        <charset val="1"/>
      </rPr>
      <t xml:space="preserve">TMS </t>
    </r>
    <r>
      <rPr>
        <sz val="10"/>
        <color rgb="FF000000"/>
        <rFont val="Noto Sans CJK SC"/>
        <family val="2"/>
      </rPr>
      <t xml:space="preserve">迁移与数据资产评估；数字化基线</t>
    </r>
  </si>
  <si>
    <t xml:space="preserve">梁嘉文</t>
  </si>
  <si>
    <r>
      <rPr>
        <sz val="10"/>
        <color rgb="FF000000"/>
        <rFont val="Noto Sans CJK SC"/>
        <family val="2"/>
      </rPr>
      <t xml:space="preserve">核心 </t>
    </r>
    <r>
      <rPr>
        <sz val="10"/>
        <color rgb="FF000000"/>
        <rFont val="Arial"/>
        <family val="0"/>
        <charset val="1"/>
      </rPr>
      <t xml:space="preserve">SOP </t>
    </r>
    <r>
      <rPr>
        <sz val="10"/>
        <color rgb="FF000000"/>
        <rFont val="Noto Sans CJK SC"/>
        <family val="2"/>
      </rPr>
      <t xml:space="preserve">口述→文档化清单（清关全流程逐环节）</t>
    </r>
  </si>
  <si>
    <t xml:space="preserve">知识外化：数字员工训练语料的源头</t>
  </si>
  <si>
    <r>
      <rPr>
        <sz val="10"/>
        <color rgb="FF000000"/>
        <rFont val="Noto Sans CJK SC"/>
        <family val="2"/>
      </rPr>
      <t xml:space="preserve">梁嘉文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陈德雷</t>
    </r>
  </si>
  <si>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</si>
  <si>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平台化准备</t>
    </r>
  </si>
  <si>
    <t xml:space="preserve">首批可迁移线上的客户与场景排序</t>
  </si>
  <si>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MVP </t>
    </r>
    <r>
      <rPr>
        <sz val="10"/>
        <color rgb="FF000000"/>
        <rFont val="Noto Sans CJK SC"/>
        <family val="2"/>
      </rPr>
      <t xml:space="preserve">的种子交易；「第一个大客户」落地路径</t>
    </r>
  </si>
  <si>
    <r>
      <rPr>
        <sz val="10"/>
        <color rgb="FF000000"/>
        <rFont val="Arial"/>
        <family val="0"/>
        <charset val="1"/>
      </rPr>
      <t xml:space="preserve">Sigma </t>
    </r>
    <r>
      <rPr>
        <sz val="10"/>
        <color rgb="FF000000"/>
        <rFont val="Noto Sans CJK SC"/>
        <family val="2"/>
      </rPr>
      <t xml:space="preserve">与飞快达平台的关联交易定价框架（转移定价）</t>
    </r>
  </si>
  <si>
    <t xml:space="preserve">架构合规：上市前必须干净</t>
  </si>
  <si>
    <r>
      <rPr>
        <b val="true"/>
        <sz val="10"/>
        <color rgb="FF000000"/>
        <rFont val="Noto Sans CJK SC"/>
        <family val="2"/>
      </rPr>
      <t xml:space="preserve">合计 </t>
    </r>
    <r>
      <rPr>
        <b val="true"/>
        <sz val="10"/>
        <color rgb="FF000000"/>
        <rFont val="Arial"/>
        <family val="0"/>
        <charset val="1"/>
      </rPr>
      <t xml:space="preserve">24 </t>
    </r>
    <r>
      <rPr>
        <b val="true"/>
        <sz val="10"/>
        <color rgb="FF000000"/>
        <rFont val="Noto Sans CJK SC"/>
        <family val="2"/>
      </rPr>
      <t xml:space="preserve">项；</t>
    </r>
    <r>
      <rPr>
        <b val="true"/>
        <sz val="10"/>
        <color rgb="FF000000"/>
        <rFont val="Arial"/>
        <family val="0"/>
        <charset val="1"/>
      </rPr>
      <t xml:space="preserve">P0 12 </t>
    </r>
    <r>
      <rPr>
        <b val="true"/>
        <sz val="10"/>
        <color rgb="FF000000"/>
        <rFont val="Noto Sans CJK SC"/>
        <family val="2"/>
      </rPr>
      <t xml:space="preserve">项（本周</t>
    </r>
    <r>
      <rPr>
        <b val="true"/>
        <sz val="10"/>
        <color rgb="FF000000"/>
        <rFont val="Arial"/>
        <family val="0"/>
        <charset val="1"/>
      </rPr>
      <t xml:space="preserve">/8</t>
    </r>
    <r>
      <rPr>
        <b val="true"/>
        <sz val="10"/>
        <color rgb="FF000000"/>
        <rFont val="Noto Sans CJK SC"/>
        <family val="2"/>
      </rPr>
      <t xml:space="preserve">月</t>
    </r>
    <r>
      <rPr>
        <b val="true"/>
        <sz val="10"/>
        <color rgb="FF000000"/>
        <rFont val="Arial"/>
        <family val="0"/>
        <charset val="1"/>
      </rPr>
      <t xml:space="preserve">15</t>
    </r>
    <r>
      <rPr>
        <b val="true"/>
        <sz val="10"/>
        <color rgb="FF000000"/>
        <rFont val="Noto Sans CJK SC"/>
        <family val="2"/>
      </rPr>
      <t xml:space="preserve">日现场核数前必须完成）</t>
    </r>
  </si>
  <si>
    <t xml:space="preserve">月份</t>
  </si>
  <si>
    <t xml:space="preserve">柜量</t>
  </si>
  <si>
    <t xml:space="preserve">票数</t>
  </si>
  <si>
    <r>
      <rPr>
        <b val="true"/>
        <sz val="10"/>
        <color rgb="FFFFFFFF"/>
        <rFont val="Noto Sans CJK SC"/>
        <family val="2"/>
      </rPr>
      <t xml:space="preserve">柜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票</t>
    </r>
  </si>
  <si>
    <t xml:space="preserve">环比</t>
  </si>
  <si>
    <t xml:space="preserve">累计柜量</t>
  </si>
  <si>
    <t xml:space="preserve">备注</t>
  </si>
  <si>
    <t xml:space="preserve">2025-09</t>
  </si>
  <si>
    <t xml:space="preserve">—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</si>
  <si>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</si>
  <si>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</si>
  <si>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</si>
  <si>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</si>
  <si>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</si>
  <si>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回落：原因待标注（疑似春节季节性）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</si>
  <si>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</si>
  <si>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</si>
  <si>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</si>
  <si>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</si>
  <si>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</si>
  <si>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</si>
  <si>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月千柜达成</t>
  </si>
  <si>
    <t xml:space="preserve">合计</t>
  </si>
  <si>
    <t xml:space="preserve">推演（公式，客单价可改）</t>
  </si>
  <si>
    <r>
      <rPr>
        <sz val="10"/>
        <color rgb="FF000000"/>
        <rFont val="Noto Sans CJK SC"/>
        <family val="2"/>
      </rPr>
      <t xml:space="preserve">加权客单价（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柜）</t>
    </r>
  </si>
  <si>
    <t xml:space="preserve">蓝色可改：口径厘清后更新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</si>
  <si>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月流水 </t>
    </r>
    <r>
      <rPr>
        <sz val="10"/>
        <color rgb="FF000000"/>
        <rFont val="Arial"/>
        <family val="0"/>
        <charset val="1"/>
      </rPr>
      <t xml:space="preserve">run-rate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月）</t>
    </r>
  </si>
  <si>
    <r>
      <rPr>
        <sz val="10"/>
        <color rgb="FF666666"/>
        <rFont val="Noto Sans CJK SC"/>
        <family val="2"/>
      </rPr>
      <t xml:space="preserve">柜量 </t>
    </r>
    <r>
      <rPr>
        <sz val="10"/>
        <color rgb="FF666666"/>
        <rFont val="Arial"/>
        <family val="0"/>
        <charset val="1"/>
      </rPr>
      <t xml:space="preserve">× </t>
    </r>
    <r>
      <rPr>
        <sz val="10"/>
        <color rgb="FF666666"/>
        <rFont val="Noto Sans CJK SC"/>
        <family val="2"/>
      </rPr>
      <t xml:space="preserve">客单价</t>
    </r>
  </si>
  <si>
    <r>
      <rPr>
        <sz val="10"/>
        <color rgb="FF000000"/>
        <rFont val="Noto Sans CJK SC"/>
        <family val="2"/>
      </rPr>
      <t xml:space="preserve">年化流水（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</si>
  <si>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666666"/>
        <rFont val="Arial"/>
        <family val="0"/>
        <charset val="1"/>
      </rPr>
      <t xml:space="preserve">run-rate </t>
    </r>
    <r>
      <rPr>
        <sz val="10"/>
        <color rgb="FF666666"/>
        <rFont val="Noto Sans CJK SC"/>
        <family val="2"/>
      </rPr>
      <t xml:space="preserve">口径，对外注明</t>
    </r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</si>
  <si>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个月累计流水估算（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</si>
  <si>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666666"/>
        <rFont val="Noto Sans CJK SC"/>
        <family val="2"/>
      </rPr>
      <t xml:space="preserve">累计口径 ≈ </t>
    </r>
    <r>
      <rPr>
        <sz val="10"/>
        <color rgb="FF666666"/>
        <rFont val="Arial"/>
        <family val="0"/>
        <charset val="1"/>
      </rPr>
      <t xml:space="preserve">$10M </t>
    </r>
    <r>
      <rPr>
        <sz val="10"/>
        <color rgb="FF666666"/>
        <rFont val="Noto Sans CJK SC"/>
        <family val="2"/>
      </rPr>
      <t xml:space="preserve">量级</t>
    </r>
  </si>
  <si>
    <r>
      <rPr>
        <sz val="10"/>
        <color rgb="FF000000"/>
        <rFont val="Arial"/>
        <family val="0"/>
        <charset val="1"/>
      </rPr>
      <t xml:space="preserve">2026 H1 </t>
    </r>
    <r>
      <rPr>
        <sz val="10"/>
        <color rgb="FF000000"/>
        <rFont val="Noto Sans CJK SC"/>
        <family val="2"/>
      </rPr>
      <t xml:space="preserve">柜量（柜）</t>
    </r>
  </si>
  <si>
    <r>
      <rPr>
        <sz val="10"/>
        <color rgb="FF666666"/>
        <rFont val="Arial"/>
        <family val="0"/>
        <charset val="1"/>
      </rPr>
      <t xml:space="preserve">1–6 </t>
    </r>
    <r>
      <rPr>
        <sz val="10"/>
        <color rgb="FF666666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</si>
  <si>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毛利估算 </t>
    </r>
    <r>
      <rPr>
        <sz val="10"/>
        <color rgb="FF000000"/>
        <rFont val="Arial"/>
        <family val="0"/>
        <charset val="1"/>
      </rPr>
      <t xml:space="preserve">@ $421/</t>
    </r>
    <r>
      <rPr>
        <sz val="10"/>
        <color rgb="FF000000"/>
        <rFont val="Noto Sans CJK SC"/>
        <family val="2"/>
      </rPr>
      <t xml:space="preserve">柜（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</si>
  <si>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666666"/>
        <rFont val="Noto Sans CJK SC"/>
        <family val="2"/>
      </rPr>
      <t xml:space="preserve">与 </t>
    </r>
    <r>
      <rPr>
        <sz val="10"/>
        <color rgb="FF666666"/>
        <rFont val="Arial"/>
        <family val="0"/>
        <charset val="1"/>
      </rPr>
      <t xml:space="preserve">H1 </t>
    </r>
    <r>
      <rPr>
        <sz val="10"/>
        <color rgb="FF666666"/>
        <rFont val="Noto Sans CJK SC"/>
        <family val="2"/>
      </rPr>
      <t xml:space="preserve">净利 </t>
    </r>
    <r>
      <rPr>
        <sz val="10"/>
        <color rgb="FF666666"/>
        <rFont val="Arial"/>
        <family val="0"/>
        <charset val="1"/>
      </rPr>
      <t xml:space="preserve">$60 </t>
    </r>
    <r>
      <rPr>
        <sz val="10"/>
        <color rgb="FF666666"/>
        <rFont val="Noto Sans CJK SC"/>
        <family val="2"/>
      </rPr>
      <t xml:space="preserve">万自洽（扣固定费）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</si>
</sst>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\+0%;\-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E"/>
      <name val="Arial"/>
      <family val="0"/>
      <charset val="1"/>
    </font>
    <font>
      <b val="true"/>
      <sz val="16"/>
      <color rgb="FF0D1B2E"/>
      <name val="Noto Sans CJK SC"/>
      <family val="2"/>
    </font>
    <font>
      <sz val="9"/>
      <color rgb="FF666666"/>
      <name val="Noto Sans CJK SC"/>
      <family val="2"/>
    </font>
    <font>
      <sz val="9"/>
      <color rgb="FF666666"/>
      <name val="Arial"/>
      <family val="0"/>
      <charset val="1"/>
    </font>
    <font>
      <b val="true"/>
      <sz val="10"/>
      <color rgb="FF000000"/>
      <name val="Noto Sans CJK SC"/>
      <family val="2"/>
    </font>
    <font>
      <b val="true"/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1"/>
      <color rgb="FF0D1B2E"/>
      <name val="Noto Sans CJK SC"/>
      <family val="2"/>
    </font>
    <font>
      <b val="true"/>
      <sz val="10"/>
      <color rgb="FF0000FF"/>
      <name val="Arial"/>
      <family val="0"/>
      <charset val="1"/>
    </font>
    <font>
      <sz val="10"/>
      <color rgb="FF666666"/>
      <name val="Noto Sans CJK SC"/>
      <family val="2"/>
    </font>
    <font>
      <sz val="10"/>
      <color rgb="FF66666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AF7F1"/>
        <bgColor rgb="FFFFFFFF"/>
      </patternFill>
    </fill>
    <fill>
      <patternFill patternType="solid">
        <fgColor rgb="FF0D1B2E"/>
        <bgColor rgb="FF000000"/>
      </patternFill>
    </fill>
    <fill>
      <patternFill patternType="solid">
        <fgColor rgb="FFE6F4EA"/>
        <bgColor rgb="FFE8EAED"/>
      </patternFill>
    </fill>
    <fill>
      <patternFill patternType="solid">
        <fgColor rgb="FFFFF3CD"/>
        <bgColor rgb="FFFAF7F1"/>
      </patternFill>
    </fill>
    <fill>
      <patternFill patternType="solid">
        <fgColor rgb="FFFDE2E2"/>
        <bgColor rgb="FFE8EAED"/>
      </patternFill>
    </fill>
    <fill>
      <patternFill patternType="solid">
        <fgColor rgb="FFE8EAED"/>
        <bgColor rgb="FFE6F4E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8"/>
      <rgbColor rgb="FF808080"/>
      <rgbColor rgb="FF9999FF"/>
      <rgbColor rgb="FF993366"/>
      <rgbColor rgb="FFFFF3CD"/>
      <rgbColor rgb="FFE6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FAF7F1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D1B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2" customFormat="false" ht="23.8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7.75" hidden="false" customHeight="true" outlineLevel="0" collapsed="false">
      <c r="B5" s="3" t="s">
        <v>2</v>
      </c>
      <c r="C5" s="4" t="s">
        <v>3</v>
      </c>
    </row>
    <row r="6" customFormat="false" ht="27.75" hidden="false" customHeight="true" outlineLevel="0" collapsed="false">
      <c r="B6" s="3" t="s">
        <v>4</v>
      </c>
      <c r="C6" s="4" t="s">
        <v>5</v>
      </c>
    </row>
    <row r="7" customFormat="false" ht="27.75" hidden="false" customHeight="true" outlineLevel="0" collapsed="false">
      <c r="B7" s="3" t="s">
        <v>6</v>
      </c>
      <c r="C7" s="5" t="s">
        <v>7</v>
      </c>
    </row>
    <row r="8" customFormat="false" ht="27.75" hidden="false" customHeight="true" outlineLevel="0" collapsed="false">
      <c r="B8" s="3" t="s">
        <v>8</v>
      </c>
      <c r="C8" s="4" t="s">
        <v>9</v>
      </c>
    </row>
    <row r="9" customFormat="false" ht="27.75" hidden="false" customHeight="true" outlineLevel="0" collapsed="false">
      <c r="B9" s="3" t="s">
        <v>10</v>
      </c>
      <c r="C9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6" t="s">
        <v>12</v>
      </c>
      <c r="B1" s="6" t="s">
        <v>13</v>
      </c>
      <c r="C1" s="6" t="s">
        <v>14</v>
      </c>
      <c r="D1" s="6" t="s">
        <v>15</v>
      </c>
      <c r="E1" s="6" t="s">
        <v>16</v>
      </c>
      <c r="F1" s="6" t="s">
        <v>17</v>
      </c>
      <c r="G1" s="6" t="s">
        <v>18</v>
      </c>
    </row>
    <row r="2" customFormat="false" ht="30" hidden="false" customHeight="true" outlineLevel="0" collapsed="false">
      <c r="A2" s="4" t="s">
        <v>19</v>
      </c>
      <c r="B2" s="4" t="s">
        <v>20</v>
      </c>
      <c r="C2" s="5" t="s">
        <v>21</v>
      </c>
      <c r="D2" s="4" t="s">
        <v>22</v>
      </c>
      <c r="E2" s="7" t="s">
        <v>23</v>
      </c>
      <c r="F2" s="4"/>
      <c r="G2" s="4" t="s">
        <v>24</v>
      </c>
    </row>
    <row r="3" customFormat="false" ht="30" hidden="false" customHeight="true" outlineLevel="0" collapsed="false">
      <c r="A3" s="4" t="s">
        <v>19</v>
      </c>
      <c r="B3" s="4" t="s">
        <v>25</v>
      </c>
      <c r="C3" s="5" t="s">
        <v>26</v>
      </c>
      <c r="D3" s="4" t="s">
        <v>27</v>
      </c>
      <c r="E3" s="7" t="s">
        <v>23</v>
      </c>
      <c r="F3" s="4" t="s">
        <v>28</v>
      </c>
      <c r="G3" s="4" t="s">
        <v>29</v>
      </c>
    </row>
    <row r="4" customFormat="false" ht="30" hidden="false" customHeight="true" outlineLevel="0" collapsed="false">
      <c r="A4" s="4" t="s">
        <v>30</v>
      </c>
      <c r="B4" s="4" t="s">
        <v>31</v>
      </c>
      <c r="C4" s="5" t="s">
        <v>32</v>
      </c>
      <c r="D4" s="4" t="s">
        <v>33</v>
      </c>
      <c r="E4" s="8" t="s">
        <v>34</v>
      </c>
      <c r="F4" s="4" t="s">
        <v>35</v>
      </c>
      <c r="G4" s="5" t="s">
        <v>36</v>
      </c>
    </row>
    <row r="5" customFormat="false" ht="30" hidden="false" customHeight="true" outlineLevel="0" collapsed="false">
      <c r="A5" s="4" t="s">
        <v>30</v>
      </c>
      <c r="B5" s="4" t="s">
        <v>37</v>
      </c>
      <c r="C5" s="5" t="s">
        <v>38</v>
      </c>
      <c r="D5" s="4" t="s">
        <v>39</v>
      </c>
      <c r="E5" s="7" t="s">
        <v>23</v>
      </c>
      <c r="F5" s="4"/>
      <c r="G5" s="5" t="s">
        <v>40</v>
      </c>
    </row>
    <row r="6" customFormat="false" ht="30" hidden="false" customHeight="true" outlineLevel="0" collapsed="false">
      <c r="A6" s="4" t="s">
        <v>30</v>
      </c>
      <c r="B6" s="4" t="s">
        <v>41</v>
      </c>
      <c r="C6" s="5" t="s">
        <v>42</v>
      </c>
      <c r="D6" s="4" t="s">
        <v>43</v>
      </c>
      <c r="E6" s="7" t="s">
        <v>23</v>
      </c>
      <c r="F6" s="4" t="s">
        <v>44</v>
      </c>
      <c r="G6" s="4" t="s">
        <v>45</v>
      </c>
    </row>
    <row r="7" customFormat="false" ht="30" hidden="false" customHeight="true" outlineLevel="0" collapsed="false">
      <c r="A7" s="4" t="s">
        <v>30</v>
      </c>
      <c r="B7" s="4" t="s">
        <v>46</v>
      </c>
      <c r="C7" s="4" t="s">
        <v>47</v>
      </c>
      <c r="D7" s="4" t="s">
        <v>48</v>
      </c>
      <c r="E7" s="8" t="s">
        <v>34</v>
      </c>
      <c r="F7" s="4" t="s">
        <v>49</v>
      </c>
      <c r="G7" s="5" t="s">
        <v>40</v>
      </c>
    </row>
    <row r="8" customFormat="false" ht="30" hidden="false" customHeight="true" outlineLevel="0" collapsed="false">
      <c r="A8" s="4" t="s">
        <v>50</v>
      </c>
      <c r="B8" s="4" t="s">
        <v>51</v>
      </c>
      <c r="C8" s="5" t="s">
        <v>52</v>
      </c>
      <c r="D8" s="4" t="s">
        <v>53</v>
      </c>
      <c r="E8" s="8" t="s">
        <v>34</v>
      </c>
      <c r="F8" s="4" t="s">
        <v>54</v>
      </c>
      <c r="G8" s="4" t="s">
        <v>55</v>
      </c>
    </row>
    <row r="9" customFormat="false" ht="30" hidden="false" customHeight="true" outlineLevel="0" collapsed="false">
      <c r="A9" s="4" t="s">
        <v>50</v>
      </c>
      <c r="B9" s="4" t="s">
        <v>56</v>
      </c>
      <c r="C9" s="5" t="s">
        <v>57</v>
      </c>
      <c r="D9" s="4" t="s">
        <v>58</v>
      </c>
      <c r="E9" s="7" t="s">
        <v>23</v>
      </c>
      <c r="F9" s="4" t="s">
        <v>59</v>
      </c>
      <c r="G9" s="4" t="s">
        <v>55</v>
      </c>
    </row>
    <row r="10" customFormat="false" ht="30" hidden="false" customHeight="true" outlineLevel="0" collapsed="false">
      <c r="A10" s="4" t="s">
        <v>60</v>
      </c>
      <c r="B10" s="5" t="s">
        <v>61</v>
      </c>
      <c r="C10" s="5" t="s">
        <v>62</v>
      </c>
      <c r="D10" s="5" t="s">
        <v>63</v>
      </c>
      <c r="E10" s="8" t="s">
        <v>34</v>
      </c>
      <c r="F10" s="4" t="s">
        <v>64</v>
      </c>
      <c r="G10" s="5" t="s">
        <v>36</v>
      </c>
    </row>
    <row r="11" customFormat="false" ht="30" hidden="false" customHeight="true" outlineLevel="0" collapsed="false">
      <c r="A11" s="4" t="s">
        <v>60</v>
      </c>
      <c r="B11" s="4" t="s">
        <v>65</v>
      </c>
      <c r="C11" s="5" t="s">
        <v>66</v>
      </c>
      <c r="D11" s="4" t="s">
        <v>67</v>
      </c>
      <c r="E11" s="8" t="s">
        <v>34</v>
      </c>
      <c r="F11" s="4" t="s">
        <v>68</v>
      </c>
      <c r="G11" s="5" t="s">
        <v>40</v>
      </c>
    </row>
    <row r="12" customFormat="false" ht="30" hidden="false" customHeight="true" outlineLevel="0" collapsed="false">
      <c r="A12" s="4" t="s">
        <v>60</v>
      </c>
      <c r="B12" s="4" t="s">
        <v>69</v>
      </c>
      <c r="C12" s="5" t="s">
        <v>70</v>
      </c>
      <c r="D12" s="4" t="s">
        <v>71</v>
      </c>
      <c r="E12" s="8" t="s">
        <v>34</v>
      </c>
      <c r="F12" s="4" t="s">
        <v>72</v>
      </c>
      <c r="G12" s="5" t="s">
        <v>73</v>
      </c>
    </row>
    <row r="13" customFormat="false" ht="30" hidden="false" customHeight="true" outlineLevel="0" collapsed="false">
      <c r="A13" s="4" t="s">
        <v>60</v>
      </c>
      <c r="B13" s="5" t="s">
        <v>74</v>
      </c>
      <c r="C13" s="5" t="s">
        <v>75</v>
      </c>
      <c r="D13" s="5" t="s">
        <v>76</v>
      </c>
      <c r="E13" s="7" t="s">
        <v>23</v>
      </c>
      <c r="F13" s="4" t="s">
        <v>77</v>
      </c>
      <c r="G13" s="4" t="s">
        <v>55</v>
      </c>
    </row>
    <row r="14" customFormat="false" ht="30" hidden="false" customHeight="true" outlineLevel="0" collapsed="false">
      <c r="A14" s="4" t="s">
        <v>78</v>
      </c>
      <c r="B14" s="4" t="s">
        <v>79</v>
      </c>
      <c r="C14" s="5" t="s">
        <v>80</v>
      </c>
      <c r="D14" s="5" t="s">
        <v>81</v>
      </c>
      <c r="E14" s="8" t="s">
        <v>34</v>
      </c>
      <c r="F14" s="5" t="s">
        <v>82</v>
      </c>
      <c r="G14" s="5" t="s">
        <v>83</v>
      </c>
    </row>
    <row r="15" customFormat="false" ht="30" hidden="false" customHeight="true" outlineLevel="0" collapsed="false">
      <c r="A15" s="4" t="s">
        <v>78</v>
      </c>
      <c r="B15" s="4" t="s">
        <v>84</v>
      </c>
      <c r="C15" s="5" t="s">
        <v>85</v>
      </c>
      <c r="D15" s="5" t="s">
        <v>86</v>
      </c>
      <c r="E15" s="8" t="s">
        <v>34</v>
      </c>
      <c r="F15" s="4" t="s">
        <v>87</v>
      </c>
      <c r="G15" s="4" t="s">
        <v>55</v>
      </c>
    </row>
    <row r="16" customFormat="false" ht="30" hidden="false" customHeight="true" outlineLevel="0" collapsed="false">
      <c r="A16" s="4" t="s">
        <v>78</v>
      </c>
      <c r="B16" s="5" t="s">
        <v>88</v>
      </c>
      <c r="C16" s="5" t="s">
        <v>89</v>
      </c>
      <c r="D16" s="5" t="s">
        <v>90</v>
      </c>
      <c r="E16" s="8" t="s">
        <v>34</v>
      </c>
      <c r="F16" s="4" t="s">
        <v>91</v>
      </c>
      <c r="G16" s="4" t="s">
        <v>92</v>
      </c>
    </row>
    <row r="17" customFormat="false" ht="30" hidden="false" customHeight="true" outlineLevel="0" collapsed="false">
      <c r="A17" s="4" t="s">
        <v>93</v>
      </c>
      <c r="B17" s="4" t="s">
        <v>94</v>
      </c>
      <c r="C17" s="5" t="s">
        <v>95</v>
      </c>
      <c r="D17" s="4" t="s">
        <v>96</v>
      </c>
      <c r="E17" s="7" t="s">
        <v>23</v>
      </c>
      <c r="F17" s="4" t="s">
        <v>97</v>
      </c>
      <c r="G17" s="5" t="s">
        <v>98</v>
      </c>
    </row>
    <row r="18" customFormat="false" ht="30" hidden="false" customHeight="true" outlineLevel="0" collapsed="false">
      <c r="A18" s="4" t="s">
        <v>99</v>
      </c>
      <c r="B18" s="4" t="s">
        <v>100</v>
      </c>
      <c r="C18" s="5" t="s">
        <v>101</v>
      </c>
      <c r="D18" s="4" t="s">
        <v>102</v>
      </c>
      <c r="E18" s="8" t="s">
        <v>34</v>
      </c>
      <c r="F18" s="4" t="s">
        <v>103</v>
      </c>
      <c r="G18" s="4" t="s">
        <v>104</v>
      </c>
    </row>
    <row r="19" customFormat="false" ht="30" hidden="false" customHeight="true" outlineLevel="0" collapsed="false">
      <c r="A19" s="4" t="s">
        <v>99</v>
      </c>
      <c r="B19" s="4" t="s">
        <v>105</v>
      </c>
      <c r="C19" s="5" t="s">
        <v>106</v>
      </c>
      <c r="D19" s="4" t="s">
        <v>107</v>
      </c>
      <c r="E19" s="8" t="s">
        <v>34</v>
      </c>
      <c r="F19" s="4" t="s">
        <v>108</v>
      </c>
      <c r="G19" s="4" t="s">
        <v>109</v>
      </c>
    </row>
    <row r="20" customFormat="false" ht="30" hidden="false" customHeight="true" outlineLevel="0" collapsed="false">
      <c r="A20" s="4" t="s">
        <v>110</v>
      </c>
      <c r="B20" s="4" t="s">
        <v>111</v>
      </c>
      <c r="C20" s="5" t="s">
        <v>112</v>
      </c>
      <c r="D20" s="4" t="s">
        <v>113</v>
      </c>
      <c r="E20" s="8" t="s">
        <v>34</v>
      </c>
      <c r="F20" s="4" t="s">
        <v>114</v>
      </c>
      <c r="G20" s="4" t="s">
        <v>115</v>
      </c>
    </row>
    <row r="21" customFormat="false" ht="30" hidden="false" customHeight="true" outlineLevel="0" collapsed="false">
      <c r="A21" s="4" t="s">
        <v>110</v>
      </c>
      <c r="B21" s="4" t="s">
        <v>116</v>
      </c>
      <c r="C21" s="5" t="s">
        <v>117</v>
      </c>
      <c r="D21" s="4" t="s">
        <v>118</v>
      </c>
      <c r="E21" s="7" t="s">
        <v>23</v>
      </c>
      <c r="F21" s="4" t="s">
        <v>119</v>
      </c>
      <c r="G21" s="4" t="s">
        <v>55</v>
      </c>
    </row>
    <row r="22" customFormat="false" ht="30" hidden="false" customHeight="true" outlineLevel="0" collapsed="false">
      <c r="A22" s="4" t="s">
        <v>120</v>
      </c>
      <c r="B22" s="4" t="s">
        <v>121</v>
      </c>
      <c r="C22" s="4" t="s">
        <v>122</v>
      </c>
      <c r="D22" s="5" t="s">
        <v>123</v>
      </c>
      <c r="E22" s="8" t="s">
        <v>34</v>
      </c>
      <c r="F22" s="4" t="s">
        <v>124</v>
      </c>
      <c r="G22" s="4" t="s">
        <v>125</v>
      </c>
    </row>
    <row r="23" customFormat="false" ht="30" hidden="false" customHeight="true" outlineLevel="0" collapsed="false">
      <c r="A23" s="4" t="s">
        <v>120</v>
      </c>
      <c r="B23" s="4" t="s">
        <v>126</v>
      </c>
      <c r="C23" s="4" t="s">
        <v>127</v>
      </c>
      <c r="D23" s="4" t="s">
        <v>128</v>
      </c>
      <c r="E23" s="8" t="s">
        <v>34</v>
      </c>
      <c r="F23" s="4" t="s">
        <v>129</v>
      </c>
      <c r="G23" s="5" t="s">
        <v>130</v>
      </c>
    </row>
    <row r="24" customFormat="false" ht="30" hidden="false" customHeight="true" outlineLevel="0" collapsed="false">
      <c r="A24" s="4" t="s">
        <v>131</v>
      </c>
      <c r="B24" s="4" t="s">
        <v>132</v>
      </c>
      <c r="C24" s="4" t="s">
        <v>133</v>
      </c>
      <c r="D24" s="4" t="s">
        <v>134</v>
      </c>
      <c r="E24" s="8" t="s">
        <v>34</v>
      </c>
      <c r="F24" s="4" t="s">
        <v>135</v>
      </c>
      <c r="G24" s="5" t="s">
        <v>136</v>
      </c>
    </row>
    <row r="25" customFormat="false" ht="30" hidden="false" customHeight="true" outlineLevel="0" collapsed="false">
      <c r="A25" s="4" t="s">
        <v>137</v>
      </c>
      <c r="B25" s="4" t="s">
        <v>138</v>
      </c>
      <c r="C25" s="4" t="s">
        <v>139</v>
      </c>
      <c r="D25" s="5" t="s">
        <v>140</v>
      </c>
      <c r="E25" s="9" t="s">
        <v>141</v>
      </c>
      <c r="F25" s="4" t="s">
        <v>142</v>
      </c>
      <c r="G25" s="5" t="s">
        <v>143</v>
      </c>
    </row>
    <row r="26" customFormat="false" ht="30" hidden="false" customHeight="true" outlineLevel="0" collapsed="false">
      <c r="A26" s="4" t="s">
        <v>144</v>
      </c>
      <c r="B26" s="5" t="s">
        <v>145</v>
      </c>
      <c r="C26" s="5" t="s">
        <v>146</v>
      </c>
      <c r="D26" s="4" t="s">
        <v>147</v>
      </c>
      <c r="E26" s="9" t="s">
        <v>141</v>
      </c>
      <c r="F26" s="4" t="s">
        <v>148</v>
      </c>
      <c r="G26" s="4" t="s">
        <v>149</v>
      </c>
    </row>
    <row r="27" customFormat="false" ht="30" hidden="false" customHeight="true" outlineLevel="0" collapsed="false">
      <c r="A27" s="4" t="s">
        <v>150</v>
      </c>
      <c r="B27" s="4" t="s">
        <v>151</v>
      </c>
      <c r="C27" s="5" t="s">
        <v>152</v>
      </c>
      <c r="D27" s="4" t="s">
        <v>153</v>
      </c>
      <c r="E27" s="9" t="s">
        <v>141</v>
      </c>
      <c r="F27" s="4" t="s">
        <v>154</v>
      </c>
      <c r="G27" s="4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3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6" t="s">
        <v>156</v>
      </c>
      <c r="B1" s="6" t="s">
        <v>157</v>
      </c>
      <c r="C1" s="6" t="s">
        <v>158</v>
      </c>
      <c r="D1" s="6" t="s">
        <v>159</v>
      </c>
      <c r="E1" s="6" t="s">
        <v>160</v>
      </c>
      <c r="F1" s="6" t="s">
        <v>161</v>
      </c>
      <c r="G1" s="6" t="s">
        <v>16</v>
      </c>
    </row>
    <row r="2" customFormat="false" ht="30" hidden="false" customHeight="true" outlineLevel="0" collapsed="false">
      <c r="A2" s="5" t="s">
        <v>162</v>
      </c>
      <c r="B2" s="4" t="s">
        <v>163</v>
      </c>
      <c r="C2" s="4" t="s">
        <v>164</v>
      </c>
      <c r="D2" s="10" t="s">
        <v>165</v>
      </c>
      <c r="E2" s="4" t="s">
        <v>166</v>
      </c>
      <c r="F2" s="11" t="s">
        <v>167</v>
      </c>
      <c r="G2" s="12" t="s">
        <v>168</v>
      </c>
    </row>
    <row r="3" customFormat="false" ht="30" hidden="false" customHeight="true" outlineLevel="0" collapsed="false">
      <c r="A3" s="5" t="s">
        <v>162</v>
      </c>
      <c r="B3" s="4" t="s">
        <v>169</v>
      </c>
      <c r="C3" s="4" t="s">
        <v>170</v>
      </c>
      <c r="D3" s="10" t="s">
        <v>165</v>
      </c>
      <c r="E3" s="4" t="s">
        <v>171</v>
      </c>
      <c r="F3" s="12" t="s">
        <v>172</v>
      </c>
      <c r="G3" s="12" t="s">
        <v>168</v>
      </c>
    </row>
    <row r="4" customFormat="false" ht="30" hidden="false" customHeight="true" outlineLevel="0" collapsed="false">
      <c r="A4" s="5" t="s">
        <v>162</v>
      </c>
      <c r="B4" s="4" t="s">
        <v>173</v>
      </c>
      <c r="C4" s="4" t="s">
        <v>174</v>
      </c>
      <c r="D4" s="10" t="s">
        <v>165</v>
      </c>
      <c r="E4" s="4" t="s">
        <v>175</v>
      </c>
      <c r="F4" s="11" t="s">
        <v>167</v>
      </c>
      <c r="G4" s="12" t="s">
        <v>168</v>
      </c>
    </row>
    <row r="5" customFormat="false" ht="30" hidden="false" customHeight="true" outlineLevel="0" collapsed="false">
      <c r="A5" s="5" t="s">
        <v>162</v>
      </c>
      <c r="B5" s="4" t="s">
        <v>176</v>
      </c>
      <c r="C5" s="4" t="s">
        <v>177</v>
      </c>
      <c r="D5" s="10" t="s">
        <v>165</v>
      </c>
      <c r="E5" s="4" t="s">
        <v>175</v>
      </c>
      <c r="F5" s="11" t="s">
        <v>167</v>
      </c>
      <c r="G5" s="12" t="s">
        <v>168</v>
      </c>
    </row>
    <row r="6" customFormat="false" ht="30" hidden="false" customHeight="true" outlineLevel="0" collapsed="false">
      <c r="A6" s="5" t="s">
        <v>178</v>
      </c>
      <c r="B6" s="4" t="s">
        <v>179</v>
      </c>
      <c r="C6" s="4" t="s">
        <v>180</v>
      </c>
      <c r="D6" s="10" t="s">
        <v>165</v>
      </c>
      <c r="E6" s="4" t="s">
        <v>171</v>
      </c>
      <c r="F6" s="12" t="s">
        <v>172</v>
      </c>
      <c r="G6" s="12" t="s">
        <v>168</v>
      </c>
    </row>
    <row r="7" customFormat="false" ht="30" hidden="false" customHeight="true" outlineLevel="0" collapsed="false">
      <c r="A7" s="5" t="s">
        <v>178</v>
      </c>
      <c r="B7" s="4" t="s">
        <v>181</v>
      </c>
      <c r="C7" s="4" t="s">
        <v>182</v>
      </c>
      <c r="D7" s="13" t="s">
        <v>183</v>
      </c>
      <c r="E7" s="4" t="s">
        <v>184</v>
      </c>
      <c r="F7" s="11" t="s">
        <v>185</v>
      </c>
      <c r="G7" s="12" t="s">
        <v>168</v>
      </c>
    </row>
    <row r="8" customFormat="false" ht="30" hidden="false" customHeight="true" outlineLevel="0" collapsed="false">
      <c r="A8" s="5" t="s">
        <v>178</v>
      </c>
      <c r="B8" s="4" t="s">
        <v>186</v>
      </c>
      <c r="C8" s="4" t="s">
        <v>187</v>
      </c>
      <c r="D8" s="13" t="s">
        <v>183</v>
      </c>
      <c r="E8" s="4" t="s">
        <v>171</v>
      </c>
      <c r="F8" s="11" t="s">
        <v>185</v>
      </c>
      <c r="G8" s="12" t="s">
        <v>168</v>
      </c>
    </row>
    <row r="9" customFormat="false" ht="30" hidden="false" customHeight="true" outlineLevel="0" collapsed="false">
      <c r="A9" s="5" t="s">
        <v>188</v>
      </c>
      <c r="B9" s="4" t="s">
        <v>189</v>
      </c>
      <c r="C9" s="4" t="s">
        <v>190</v>
      </c>
      <c r="D9" s="10" t="s">
        <v>165</v>
      </c>
      <c r="E9" s="4" t="s">
        <v>171</v>
      </c>
      <c r="F9" s="11" t="s">
        <v>167</v>
      </c>
      <c r="G9" s="12" t="s">
        <v>168</v>
      </c>
    </row>
    <row r="10" customFormat="false" ht="30" hidden="false" customHeight="true" outlineLevel="0" collapsed="false">
      <c r="A10" s="5" t="s">
        <v>188</v>
      </c>
      <c r="B10" s="4" t="s">
        <v>191</v>
      </c>
      <c r="C10" s="5" t="s">
        <v>192</v>
      </c>
      <c r="D10" s="10" t="s">
        <v>165</v>
      </c>
      <c r="E10" s="4" t="s">
        <v>171</v>
      </c>
      <c r="F10" s="11" t="s">
        <v>167</v>
      </c>
      <c r="G10" s="12" t="s">
        <v>168</v>
      </c>
    </row>
    <row r="11" customFormat="false" ht="30" hidden="false" customHeight="true" outlineLevel="0" collapsed="false">
      <c r="A11" s="5" t="s">
        <v>188</v>
      </c>
      <c r="B11" s="5" t="s">
        <v>193</v>
      </c>
      <c r="C11" s="4" t="s">
        <v>194</v>
      </c>
      <c r="D11" s="10" t="s">
        <v>165</v>
      </c>
      <c r="E11" s="4" t="s">
        <v>171</v>
      </c>
      <c r="F11" s="12" t="s">
        <v>172</v>
      </c>
      <c r="G11" s="12" t="s">
        <v>168</v>
      </c>
    </row>
    <row r="12" customFormat="false" ht="30" hidden="false" customHeight="true" outlineLevel="0" collapsed="false">
      <c r="A12" s="5" t="s">
        <v>188</v>
      </c>
      <c r="B12" s="4" t="s">
        <v>195</v>
      </c>
      <c r="C12" s="5" t="s">
        <v>196</v>
      </c>
      <c r="D12" s="13" t="s">
        <v>183</v>
      </c>
      <c r="E12" s="4" t="s">
        <v>171</v>
      </c>
      <c r="F12" s="11" t="s">
        <v>185</v>
      </c>
      <c r="G12" s="12" t="s">
        <v>168</v>
      </c>
    </row>
    <row r="13" customFormat="false" ht="30" hidden="false" customHeight="true" outlineLevel="0" collapsed="false">
      <c r="A13" s="5" t="s">
        <v>188</v>
      </c>
      <c r="B13" s="5" t="s">
        <v>197</v>
      </c>
      <c r="C13" s="4" t="s">
        <v>198</v>
      </c>
      <c r="D13" s="14" t="s">
        <v>199</v>
      </c>
      <c r="E13" s="4" t="s">
        <v>171</v>
      </c>
      <c r="F13" s="11" t="s">
        <v>185</v>
      </c>
      <c r="G13" s="12" t="s">
        <v>168</v>
      </c>
    </row>
    <row r="14" customFormat="false" ht="30" hidden="false" customHeight="true" outlineLevel="0" collapsed="false">
      <c r="A14" s="5" t="s">
        <v>200</v>
      </c>
      <c r="B14" s="5" t="s">
        <v>201</v>
      </c>
      <c r="C14" s="4" t="s">
        <v>202</v>
      </c>
      <c r="D14" s="13" t="s">
        <v>183</v>
      </c>
      <c r="E14" s="4" t="s">
        <v>171</v>
      </c>
      <c r="F14" s="11" t="s">
        <v>167</v>
      </c>
      <c r="G14" s="12" t="s">
        <v>168</v>
      </c>
    </row>
    <row r="15" customFormat="false" ht="30" hidden="false" customHeight="true" outlineLevel="0" collapsed="false">
      <c r="A15" s="5" t="s">
        <v>200</v>
      </c>
      <c r="B15" s="4" t="s">
        <v>203</v>
      </c>
      <c r="C15" s="4" t="s">
        <v>204</v>
      </c>
      <c r="D15" s="13" t="s">
        <v>183</v>
      </c>
      <c r="E15" s="4" t="s">
        <v>171</v>
      </c>
      <c r="F15" s="11" t="s">
        <v>167</v>
      </c>
      <c r="G15" s="12" t="s">
        <v>168</v>
      </c>
    </row>
    <row r="16" customFormat="false" ht="30" hidden="false" customHeight="true" outlineLevel="0" collapsed="false">
      <c r="A16" s="5" t="s">
        <v>200</v>
      </c>
      <c r="B16" s="4" t="s">
        <v>205</v>
      </c>
      <c r="C16" s="4" t="s">
        <v>206</v>
      </c>
      <c r="D16" s="13" t="s">
        <v>183</v>
      </c>
      <c r="E16" s="4" t="s">
        <v>184</v>
      </c>
      <c r="F16" s="11" t="s">
        <v>185</v>
      </c>
      <c r="G16" s="12" t="s">
        <v>168</v>
      </c>
    </row>
    <row r="17" customFormat="false" ht="30" hidden="false" customHeight="true" outlineLevel="0" collapsed="false">
      <c r="A17" s="5" t="s">
        <v>207</v>
      </c>
      <c r="B17" s="5" t="s">
        <v>208</v>
      </c>
      <c r="C17" s="4" t="s">
        <v>209</v>
      </c>
      <c r="D17" s="10" t="s">
        <v>165</v>
      </c>
      <c r="E17" s="4" t="s">
        <v>171</v>
      </c>
      <c r="F17" s="12" t="s">
        <v>172</v>
      </c>
      <c r="G17" s="12" t="s">
        <v>168</v>
      </c>
    </row>
    <row r="18" customFormat="false" ht="30" hidden="false" customHeight="true" outlineLevel="0" collapsed="false">
      <c r="A18" s="5" t="s">
        <v>207</v>
      </c>
      <c r="B18" s="4" t="s">
        <v>210</v>
      </c>
      <c r="C18" s="5" t="s">
        <v>211</v>
      </c>
      <c r="D18" s="10" t="s">
        <v>165</v>
      </c>
      <c r="E18" s="4" t="s">
        <v>171</v>
      </c>
      <c r="F18" s="12" t="s">
        <v>172</v>
      </c>
      <c r="G18" s="12" t="s">
        <v>168</v>
      </c>
    </row>
    <row r="19" customFormat="false" ht="30" hidden="false" customHeight="true" outlineLevel="0" collapsed="false">
      <c r="A19" s="5" t="s">
        <v>207</v>
      </c>
      <c r="B19" s="4" t="s">
        <v>212</v>
      </c>
      <c r="C19" s="5" t="s">
        <v>213</v>
      </c>
      <c r="D19" s="10" t="s">
        <v>165</v>
      </c>
      <c r="E19" s="4" t="s">
        <v>175</v>
      </c>
      <c r="F19" s="11" t="s">
        <v>167</v>
      </c>
      <c r="G19" s="12" t="s">
        <v>168</v>
      </c>
    </row>
    <row r="20" customFormat="false" ht="30" hidden="false" customHeight="true" outlineLevel="0" collapsed="false">
      <c r="A20" s="5" t="s">
        <v>207</v>
      </c>
      <c r="B20" s="4" t="s">
        <v>214</v>
      </c>
      <c r="C20" s="4" t="s">
        <v>215</v>
      </c>
      <c r="D20" s="13" t="s">
        <v>183</v>
      </c>
      <c r="E20" s="4" t="s">
        <v>171</v>
      </c>
      <c r="F20" s="11" t="s">
        <v>185</v>
      </c>
      <c r="G20" s="12" t="s">
        <v>168</v>
      </c>
    </row>
    <row r="21" customFormat="false" ht="30" hidden="false" customHeight="true" outlineLevel="0" collapsed="false">
      <c r="A21" s="5" t="s">
        <v>216</v>
      </c>
      <c r="B21" s="5" t="s">
        <v>217</v>
      </c>
      <c r="C21" s="4" t="s">
        <v>218</v>
      </c>
      <c r="D21" s="13" t="s">
        <v>183</v>
      </c>
      <c r="E21" s="4" t="s">
        <v>171</v>
      </c>
      <c r="F21" s="11" t="s">
        <v>167</v>
      </c>
      <c r="G21" s="12" t="s">
        <v>168</v>
      </c>
    </row>
    <row r="22" customFormat="false" ht="30" hidden="false" customHeight="true" outlineLevel="0" collapsed="false">
      <c r="A22" s="5" t="s">
        <v>216</v>
      </c>
      <c r="B22" s="4" t="s">
        <v>219</v>
      </c>
      <c r="C22" s="5" t="s">
        <v>220</v>
      </c>
      <c r="D22" s="10" t="s">
        <v>165</v>
      </c>
      <c r="E22" s="4" t="s">
        <v>221</v>
      </c>
      <c r="F22" s="11" t="s">
        <v>167</v>
      </c>
      <c r="G22" s="12" t="s">
        <v>168</v>
      </c>
    </row>
    <row r="23" customFormat="false" ht="30" hidden="false" customHeight="true" outlineLevel="0" collapsed="false">
      <c r="A23" s="5" t="s">
        <v>216</v>
      </c>
      <c r="B23" s="4" t="s">
        <v>222</v>
      </c>
      <c r="C23" s="4" t="s">
        <v>223</v>
      </c>
      <c r="D23" s="13" t="s">
        <v>183</v>
      </c>
      <c r="E23" s="4" t="s">
        <v>224</v>
      </c>
      <c r="F23" s="11" t="s">
        <v>225</v>
      </c>
      <c r="G23" s="12" t="s">
        <v>168</v>
      </c>
    </row>
    <row r="24" customFormat="false" ht="30" hidden="false" customHeight="true" outlineLevel="0" collapsed="false">
      <c r="A24" s="5" t="s">
        <v>226</v>
      </c>
      <c r="B24" s="4" t="s">
        <v>227</v>
      </c>
      <c r="C24" s="4" t="s">
        <v>228</v>
      </c>
      <c r="D24" s="13" t="s">
        <v>183</v>
      </c>
      <c r="E24" s="4" t="s">
        <v>221</v>
      </c>
      <c r="F24" s="11" t="s">
        <v>225</v>
      </c>
      <c r="G24" s="12" t="s">
        <v>168</v>
      </c>
    </row>
    <row r="25" customFormat="false" ht="30" hidden="false" customHeight="true" outlineLevel="0" collapsed="false">
      <c r="A25" s="5" t="s">
        <v>226</v>
      </c>
      <c r="B25" s="5" t="s">
        <v>229</v>
      </c>
      <c r="C25" s="4" t="s">
        <v>230</v>
      </c>
      <c r="D25" s="13" t="s">
        <v>183</v>
      </c>
      <c r="E25" s="4" t="s">
        <v>175</v>
      </c>
      <c r="F25" s="11" t="s">
        <v>225</v>
      </c>
      <c r="G25" s="12" t="s">
        <v>168</v>
      </c>
    </row>
    <row r="27" customFormat="false" ht="29.85" hidden="false" customHeight="false" outlineLevel="0" collapsed="false">
      <c r="B27" s="3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30"/>
  </cols>
  <sheetData>
    <row r="1" customFormat="false" ht="15" hidden="false" customHeight="false" outlineLevel="0" collapsed="false">
      <c r="A1" s="6" t="s">
        <v>232</v>
      </c>
      <c r="B1" s="6" t="s">
        <v>233</v>
      </c>
      <c r="C1" s="6" t="s">
        <v>234</v>
      </c>
      <c r="D1" s="6" t="s">
        <v>235</v>
      </c>
      <c r="E1" s="6" t="s">
        <v>236</v>
      </c>
      <c r="F1" s="6" t="s">
        <v>237</v>
      </c>
      <c r="G1" s="6" t="s">
        <v>238</v>
      </c>
    </row>
    <row r="2" customFormat="false" ht="15" hidden="false" customHeight="false" outlineLevel="0" collapsed="false">
      <c r="A2" s="11" t="s">
        <v>239</v>
      </c>
      <c r="B2" s="15" t="n">
        <v>33</v>
      </c>
      <c r="C2" s="15" t="n">
        <v>6</v>
      </c>
      <c r="D2" s="16" t="n">
        <f aca="false">B2/C2</f>
        <v>5.5</v>
      </c>
      <c r="E2" s="11" t="s">
        <v>240</v>
      </c>
      <c r="F2" s="15" t="n">
        <f aca="false">SUM(B$2:B2)</f>
        <v>33</v>
      </c>
      <c r="G2" s="4"/>
    </row>
    <row r="3" customFormat="false" ht="15" hidden="false" customHeight="false" outlineLevel="0" collapsed="false">
      <c r="A3" s="11" t="s">
        <v>241</v>
      </c>
      <c r="B3" s="15" t="n">
        <v>54</v>
      </c>
      <c r="C3" s="15" t="n">
        <v>10</v>
      </c>
      <c r="D3" s="16" t="n">
        <f aca="false">B3/C3</f>
        <v>5.4</v>
      </c>
      <c r="E3" s="17" t="n">
        <f aca="false">B3/B2-1</f>
        <v>0.636363636363637</v>
      </c>
      <c r="F3" s="15" t="n">
        <f aca="false">SUM(B$2:B3)</f>
        <v>87</v>
      </c>
      <c r="G3" s="4"/>
    </row>
    <row r="4" customFormat="false" ht="15" hidden="false" customHeight="false" outlineLevel="0" collapsed="false">
      <c r="A4" s="11" t="s">
        <v>242</v>
      </c>
      <c r="B4" s="15" t="n">
        <v>76</v>
      </c>
      <c r="C4" s="15" t="n">
        <v>12</v>
      </c>
      <c r="D4" s="16" t="n">
        <f aca="false">B4/C4</f>
        <v>6.33333333333333</v>
      </c>
      <c r="E4" s="17" t="n">
        <f aca="false">B4/B3-1</f>
        <v>0.407407407407407</v>
      </c>
      <c r="F4" s="15" t="n">
        <f aca="false">SUM(B$2:B4)</f>
        <v>163</v>
      </c>
      <c r="G4" s="4"/>
    </row>
    <row r="5" customFormat="false" ht="15" hidden="false" customHeight="false" outlineLevel="0" collapsed="false">
      <c r="A5" s="11" t="s">
        <v>243</v>
      </c>
      <c r="B5" s="15" t="n">
        <v>101</v>
      </c>
      <c r="C5" s="15" t="n">
        <v>20</v>
      </c>
      <c r="D5" s="16" t="n">
        <f aca="false">B5/C5</f>
        <v>5.05</v>
      </c>
      <c r="E5" s="17" t="n">
        <f aca="false">B5/B4-1</f>
        <v>0.328947368421053</v>
      </c>
      <c r="F5" s="15" t="n">
        <f aca="false">SUM(B$2:B5)</f>
        <v>264</v>
      </c>
      <c r="G5" s="4"/>
    </row>
    <row r="6" customFormat="false" ht="15" hidden="false" customHeight="false" outlineLevel="0" collapsed="false">
      <c r="A6" s="11" t="s">
        <v>244</v>
      </c>
      <c r="B6" s="15" t="n">
        <v>150</v>
      </c>
      <c r="C6" s="15" t="n">
        <v>22</v>
      </c>
      <c r="D6" s="16" t="n">
        <f aca="false">B6/C6</f>
        <v>6.81818181818182</v>
      </c>
      <c r="E6" s="17" t="n">
        <f aca="false">B6/B5-1</f>
        <v>0.485148514851485</v>
      </c>
      <c r="F6" s="15" t="n">
        <f aca="false">SUM(B$2:B6)</f>
        <v>414</v>
      </c>
      <c r="G6" s="4"/>
    </row>
    <row r="7" customFormat="false" ht="29.85" hidden="false" customHeight="false" outlineLevel="0" collapsed="false">
      <c r="A7" s="11" t="s">
        <v>245</v>
      </c>
      <c r="B7" s="15" t="n">
        <v>122</v>
      </c>
      <c r="C7" s="15" t="n">
        <v>15</v>
      </c>
      <c r="D7" s="16" t="n">
        <f aca="false">B7/C7</f>
        <v>8.13333333333333</v>
      </c>
      <c r="E7" s="17" t="n">
        <f aca="false">B7/B6-1</f>
        <v>-0.186666666666667</v>
      </c>
      <c r="F7" s="15" t="n">
        <f aca="false">SUM(B$2:B7)</f>
        <v>536</v>
      </c>
      <c r="G7" s="4" t="s">
        <v>246</v>
      </c>
    </row>
    <row r="8" customFormat="false" ht="15" hidden="false" customHeight="false" outlineLevel="0" collapsed="false">
      <c r="A8" s="11" t="s">
        <v>247</v>
      </c>
      <c r="B8" s="15" t="n">
        <v>265</v>
      </c>
      <c r="C8" s="15" t="n">
        <v>27</v>
      </c>
      <c r="D8" s="16" t="n">
        <f aca="false">B8/C8</f>
        <v>9.81481481481482</v>
      </c>
      <c r="E8" s="17" t="n">
        <f aca="false">B8/B7-1</f>
        <v>1.17213114754098</v>
      </c>
      <c r="F8" s="15" t="n">
        <f aca="false">SUM(B$2:B8)</f>
        <v>801</v>
      </c>
      <c r="G8" s="4"/>
    </row>
    <row r="9" customFormat="false" ht="15" hidden="false" customHeight="false" outlineLevel="0" collapsed="false">
      <c r="A9" s="11" t="s">
        <v>248</v>
      </c>
      <c r="B9" s="15" t="n">
        <v>314</v>
      </c>
      <c r="C9" s="15" t="n">
        <v>72</v>
      </c>
      <c r="D9" s="16" t="n">
        <f aca="false">B9/C9</f>
        <v>4.36111111111111</v>
      </c>
      <c r="E9" s="17" t="n">
        <f aca="false">B9/B8-1</f>
        <v>0.184905660377358</v>
      </c>
      <c r="F9" s="15" t="n">
        <f aca="false">SUM(B$2:B9)</f>
        <v>1115</v>
      </c>
      <c r="G9" s="4"/>
    </row>
    <row r="10" customFormat="false" ht="15" hidden="false" customHeight="false" outlineLevel="0" collapsed="false">
      <c r="A10" s="11" t="s">
        <v>249</v>
      </c>
      <c r="B10" s="15" t="n">
        <v>501</v>
      </c>
      <c r="C10" s="15" t="n">
        <v>90</v>
      </c>
      <c r="D10" s="16" t="n">
        <f aca="false">B10/C10</f>
        <v>5.56666666666667</v>
      </c>
      <c r="E10" s="17" t="n">
        <f aca="false">B10/B9-1</f>
        <v>0.595541401273885</v>
      </c>
      <c r="F10" s="15" t="n">
        <f aca="false">SUM(B$2:B10)</f>
        <v>1616</v>
      </c>
      <c r="G10" s="4"/>
    </row>
    <row r="11" customFormat="false" ht="15" hidden="false" customHeight="false" outlineLevel="0" collapsed="false">
      <c r="A11" s="11" t="s">
        <v>250</v>
      </c>
      <c r="B11" s="15" t="n">
        <v>804</v>
      </c>
      <c r="C11" s="15" t="n">
        <v>120</v>
      </c>
      <c r="D11" s="16" t="n">
        <f aca="false">B11/C11</f>
        <v>6.7</v>
      </c>
      <c r="E11" s="17" t="n">
        <f aca="false">B11/B10-1</f>
        <v>0.604790419161677</v>
      </c>
      <c r="F11" s="15" t="n">
        <f aca="false">SUM(B$2:B11)</f>
        <v>2420</v>
      </c>
      <c r="G11" s="4"/>
    </row>
    <row r="12" customFormat="false" ht="15" hidden="false" customHeight="false" outlineLevel="0" collapsed="false">
      <c r="A12" s="11" t="s">
        <v>251</v>
      </c>
      <c r="B12" s="15" t="n">
        <v>946</v>
      </c>
      <c r="C12" s="15" t="n">
        <v>137</v>
      </c>
      <c r="D12" s="16" t="n">
        <f aca="false">B12/C12</f>
        <v>6.9051094890511</v>
      </c>
      <c r="E12" s="17" t="n">
        <f aca="false">B12/B11-1</f>
        <v>0.176616915422886</v>
      </c>
      <c r="F12" s="15" t="n">
        <f aca="false">SUM(B$2:B12)</f>
        <v>3366</v>
      </c>
      <c r="G12" s="4"/>
    </row>
    <row r="13" customFormat="false" ht="15" hidden="false" customHeight="false" outlineLevel="0" collapsed="false">
      <c r="A13" s="11" t="s">
        <v>252</v>
      </c>
      <c r="B13" s="15" t="n">
        <v>1020</v>
      </c>
      <c r="C13" s="15" t="n">
        <v>150</v>
      </c>
      <c r="D13" s="16" t="n">
        <f aca="false">B13/C13</f>
        <v>6.8</v>
      </c>
      <c r="E13" s="17" t="n">
        <f aca="false">B13/B12-1</f>
        <v>0.0782241014799154</v>
      </c>
      <c r="F13" s="15" t="n">
        <f aca="false">SUM(B$2:B13)</f>
        <v>4386</v>
      </c>
      <c r="G13" s="4" t="s">
        <v>253</v>
      </c>
    </row>
    <row r="14" customFormat="false" ht="15" hidden="false" customHeight="false" outlineLevel="0" collapsed="false">
      <c r="A14" s="18" t="s">
        <v>254</v>
      </c>
      <c r="B14" s="19" t="n">
        <f aca="false">SUM(B2:B13)</f>
        <v>4386</v>
      </c>
      <c r="C14" s="19" t="n">
        <f aca="false">SUM(C2:C13)</f>
        <v>681</v>
      </c>
      <c r="D14" s="20"/>
      <c r="E14" s="20"/>
      <c r="F14" s="20"/>
      <c r="G14" s="20"/>
    </row>
    <row r="16" customFormat="false" ht="15" hidden="false" customHeight="false" outlineLevel="0" collapsed="false">
      <c r="A16" s="21" t="s">
        <v>255</v>
      </c>
    </row>
    <row r="17" customFormat="false" ht="15" hidden="false" customHeight="true" outlineLevel="0" collapsed="false">
      <c r="A17" s="4" t="s">
        <v>256</v>
      </c>
      <c r="B17" s="22" t="n">
        <v>2357</v>
      </c>
      <c r="C17" s="23" t="s">
        <v>257</v>
      </c>
      <c r="D17" s="23"/>
      <c r="E17" s="23"/>
    </row>
    <row r="18" customFormat="false" ht="15" hidden="false" customHeight="true" outlineLevel="0" collapsed="false">
      <c r="A18" s="5" t="s">
        <v>258</v>
      </c>
      <c r="B18" s="24" t="n">
        <f aca="false">B13*B17</f>
        <v>2404140</v>
      </c>
      <c r="C18" s="23" t="s">
        <v>259</v>
      </c>
      <c r="D18" s="23"/>
      <c r="E18" s="23"/>
    </row>
    <row r="19" customFormat="false" ht="15" hidden="false" customHeight="true" outlineLevel="0" collapsed="false">
      <c r="A19" s="4" t="s">
        <v>260</v>
      </c>
      <c r="B19" s="24" t="n">
        <f aca="false">B18*12</f>
        <v>28849680</v>
      </c>
      <c r="C19" s="25" t="s">
        <v>261</v>
      </c>
      <c r="D19" s="25"/>
      <c r="E19" s="25"/>
    </row>
    <row r="20" customFormat="false" ht="15" hidden="false" customHeight="true" outlineLevel="0" collapsed="false">
      <c r="A20" s="5" t="s">
        <v>262</v>
      </c>
      <c r="B20" s="24" t="n">
        <f aca="false">B14*B17</f>
        <v>10337802</v>
      </c>
      <c r="C20" s="23" t="s">
        <v>263</v>
      </c>
      <c r="D20" s="23"/>
      <c r="E20" s="23"/>
    </row>
    <row r="21" customFormat="false" ht="15" hidden="false" customHeight="true" outlineLevel="0" collapsed="false">
      <c r="A21" s="5" t="s">
        <v>264</v>
      </c>
      <c r="B21" s="24" t="n">
        <f aca="false">SUM(B6:B11)</f>
        <v>2156</v>
      </c>
      <c r="C21" s="25" t="s">
        <v>265</v>
      </c>
      <c r="D21" s="25"/>
      <c r="E21" s="25"/>
    </row>
    <row r="22" customFormat="false" ht="15" hidden="false" customHeight="true" outlineLevel="0" collapsed="false">
      <c r="A22" s="5" t="s">
        <v>266</v>
      </c>
      <c r="B22" s="24" t="n">
        <f aca="false">B21*421</f>
        <v>907676</v>
      </c>
      <c r="C22" s="23" t="s">
        <v>267</v>
      </c>
      <c r="D22" s="23"/>
      <c r="E22" s="23"/>
    </row>
  </sheetData>
  <mergeCells count="6">
    <mergeCell ref="C17:E17"/>
    <mergeCell ref="C18:E18"/>
    <mergeCell ref="C19:E19"/>
    <mergeCell ref="C20:E20"/>
    <mergeCell ref="C21:E21"/>
    <mergeCell ref="C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2026-08-04T01:53:32Z</dcterms:created>
  <dc:creator>openpyxl</dc:creator>
  <dc:description/>
  <dc:language>en-US</dc:language>
  <cp:lastModifiedBy/>
  <dcterms:modified xsi:type="dcterms:W3CDTF">2026-08-04T01:53:32Z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